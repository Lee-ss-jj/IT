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0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drawings/drawing5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15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UNGBO04\Desktop\2021지방_1\"/>
    </mc:Choice>
  </mc:AlternateContent>
  <bookViews>
    <workbookView xWindow="-120" yWindow="-120" windowWidth="29040" windowHeight="15840"/>
  </bookViews>
  <sheets>
    <sheet name="Main" sheetId="1" r:id="rId1"/>
    <sheet name="팀" sheetId="2" r:id="rId2"/>
    <sheet name="종목" sheetId="3" r:id="rId3"/>
    <sheet name="참가선수" sheetId="4" r:id="rId4"/>
    <sheet name="스케줄" sheetId="5" r:id="rId5"/>
    <sheet name="경기현황" sheetId="6" r:id="rId6"/>
    <sheet name="d" sheetId="7" r:id="rId7"/>
    <sheet name="dd" sheetId="8" r:id="rId8"/>
  </sheets>
  <functionGroups builtInGroupCount="18"/>
  <definedNames>
    <definedName name="_xlnm._FilterDatabase" localSheetId="3" hidden="1">참가선수!$A$1:$E$14</definedName>
    <definedName name="_xlnm._FilterDatabase" localSheetId="1" hidden="1">팀!$A$1:$G$91</definedName>
    <definedName name="_xlnm.Criteria" localSheetId="6">d!$M$1:$M$2</definedName>
    <definedName name="_xlnm.Extract" localSheetId="6">d!$N:$N</definedName>
    <definedName name="생년월일">OFFSET(팀!$D$2,,,COUNTA(팀!$D:$D)-1,1)</definedName>
    <definedName name="오1">INDIRECT("dd!$A$" &amp; 스케줄!$B$3)</definedName>
    <definedName name="오2">INDIRECT("dd!$A$" &amp; 스케줄!$B$4)</definedName>
    <definedName name="오3">INDIRECT("dd!$A$" &amp; 스케줄!$B$5)</definedName>
    <definedName name="왼1">INDIRECT("dd!$A$" &amp; 스케줄!$A$3)</definedName>
    <definedName name="왼2">INDIRECT("dd!$A$" &amp; 스케줄!$A$4)</definedName>
    <definedName name="왼3">INDIRECT("dd!$A$" &amp; 스케줄!$A$5)</definedName>
    <definedName name="종목">OFFSET(참가선수!$E$2,,,COUNTA(참가선수!$A:$A),1)</definedName>
    <definedName name="종목2">OFFSET(스케줄!$R$2,,,COUNTA(스케줄!$R:$R),1)</definedName>
    <definedName name="참가선수">OFFSET(참가선수!$A$1,,,COUNTA(참가선수!$A:$A),5)</definedName>
    <definedName name="팀">OFFSET(팀!$A$1,,,COUNTA(팀!$A:$A),7)</definedName>
    <definedName name="팀2">OFFSET(팀!$B$2,,,COUNTA(팀!$B:$B)-1,1)</definedName>
    <definedName name="팀번호">OFFSET(팀!$A$2,,,COUNTA(팀!$A:$A)-1,1)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2" i="5" l="1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Q83" i="7" l="1" a="1"/>
  <c r="Q83" i="7" s="1"/>
  <c r="Q82" i="7" a="1"/>
  <c r="Q82" i="7" s="1"/>
  <c r="Q81" i="7" a="1"/>
  <c r="Q81" i="7" s="1"/>
  <c r="Q80" i="7" a="1"/>
  <c r="Q80" i="7" s="1"/>
  <c r="Q79" i="7" a="1"/>
  <c r="Q79" i="7" s="1"/>
  <c r="Q78" i="7" a="1"/>
  <c r="Q78" i="7" s="1"/>
  <c r="Q77" i="7" a="1"/>
  <c r="Q77" i="7" s="1"/>
  <c r="Q76" i="7" a="1"/>
  <c r="Q76" i="7" s="1"/>
  <c r="Q75" i="7" a="1"/>
  <c r="Q75" i="7" s="1"/>
  <c r="Q74" i="7" a="1"/>
  <c r="Q74" i="7" s="1"/>
  <c r="Q73" i="7" a="1"/>
  <c r="Q73" i="7" s="1"/>
  <c r="Q72" i="7" a="1"/>
  <c r="Q72" i="7" s="1"/>
  <c r="Q71" i="7" a="1"/>
  <c r="Q71" i="7" s="1"/>
  <c r="Q70" i="7" a="1"/>
  <c r="Q70" i="7" s="1"/>
  <c r="Q69" i="7" a="1"/>
  <c r="Q69" i="7" s="1"/>
  <c r="Q68" i="7" a="1"/>
  <c r="Q68" i="7" s="1"/>
  <c r="Q67" i="7" a="1"/>
  <c r="Q67" i="7" s="1"/>
  <c r="Q66" i="7" a="1"/>
  <c r="Q66" i="7" s="1"/>
  <c r="Q65" i="7" a="1"/>
  <c r="Q65" i="7" s="1"/>
  <c r="Q64" i="7" a="1"/>
  <c r="Q64" i="7" s="1"/>
  <c r="Q63" i="7" a="1"/>
  <c r="Q63" i="7" s="1"/>
  <c r="Q62" i="7" a="1"/>
  <c r="Q62" i="7" s="1"/>
  <c r="Q61" i="7" a="1"/>
  <c r="Q61" i="7" s="1"/>
  <c r="Q60" i="7" a="1"/>
  <c r="Q60" i="7" s="1"/>
  <c r="Q59" i="7" a="1"/>
  <c r="Q59" i="7" s="1"/>
  <c r="Q58" i="7" a="1"/>
  <c r="Q58" i="7" s="1"/>
  <c r="Q57" i="7" a="1"/>
  <c r="Q57" i="7" s="1"/>
  <c r="Q56" i="7" a="1"/>
  <c r="Q56" i="7" s="1"/>
  <c r="Q55" i="7" a="1"/>
  <c r="Q55" i="7" s="1"/>
  <c r="Q54" i="7" a="1"/>
  <c r="Q54" i="7" s="1"/>
  <c r="Q53" i="7" a="1"/>
  <c r="Q53" i="7" s="1"/>
  <c r="Q52" i="7" a="1"/>
  <c r="Q52" i="7" s="1"/>
  <c r="Q51" i="7" a="1"/>
  <c r="Q51" i="7" s="1"/>
  <c r="Q50" i="7" a="1"/>
  <c r="Q50" i="7" s="1"/>
  <c r="Q49" i="7" a="1"/>
  <c r="Q49" i="7" s="1"/>
  <c r="Q48" i="7" a="1"/>
  <c r="Q48" i="7" s="1"/>
  <c r="Q47" i="7" a="1"/>
  <c r="Q47" i="7" s="1"/>
  <c r="Q46" i="7" a="1"/>
  <c r="Q46" i="7" s="1"/>
  <c r="Q45" i="7" a="1"/>
  <c r="Q45" i="7" s="1"/>
  <c r="Q44" i="7" a="1"/>
  <c r="Q44" i="7" s="1"/>
  <c r="Q43" i="7" a="1"/>
  <c r="Q43" i="7" s="1"/>
  <c r="Q42" i="7" a="1"/>
  <c r="Q42" i="7" s="1"/>
  <c r="Q41" i="7" a="1"/>
  <c r="Q41" i="7" s="1"/>
  <c r="Q40" i="7" a="1"/>
  <c r="Q40" i="7" s="1"/>
  <c r="Q39" i="7" a="1"/>
  <c r="Q39" i="7" s="1"/>
  <c r="Q38" i="7" a="1"/>
  <c r="Q38" i="7" s="1"/>
  <c r="Q37" i="7" a="1"/>
  <c r="Q37" i="7" s="1"/>
  <c r="Q36" i="7" a="1"/>
  <c r="Q36" i="7" s="1"/>
  <c r="Q35" i="7" a="1"/>
  <c r="Q35" i="7" s="1"/>
  <c r="Q34" i="7" a="1"/>
  <c r="Q34" i="7" s="1"/>
  <c r="Q33" i="7" a="1"/>
  <c r="Q33" i="7" s="1"/>
  <c r="Q32" i="7" a="1"/>
  <c r="Q32" i="7" s="1"/>
  <c r="Q31" i="7" a="1"/>
  <c r="Q31" i="7" s="1"/>
  <c r="Q30" i="7" a="1"/>
  <c r="Q30" i="7" s="1"/>
  <c r="Q29" i="7" a="1"/>
  <c r="Q29" i="7" s="1"/>
  <c r="Q28" i="7" a="1"/>
  <c r="Q28" i="7" s="1"/>
  <c r="Q27" i="7" a="1"/>
  <c r="Q27" i="7" s="1"/>
  <c r="Q26" i="7" a="1"/>
  <c r="Q26" i="7" s="1"/>
  <c r="Q25" i="7" a="1"/>
  <c r="Q25" i="7" s="1"/>
  <c r="Q24" i="7" a="1"/>
  <c r="Q24" i="7" s="1"/>
  <c r="Q23" i="7" a="1"/>
  <c r="Q23" i="7" s="1"/>
  <c r="Q22" i="7" a="1"/>
  <c r="Q22" i="7" s="1"/>
  <c r="Q21" i="7" a="1"/>
  <c r="Q21" i="7" s="1"/>
  <c r="Q20" i="7" a="1"/>
  <c r="Q20" i="7" s="1"/>
  <c r="Q19" i="7" a="1"/>
  <c r="Q19" i="7" s="1"/>
  <c r="Q18" i="7" a="1"/>
  <c r="Q18" i="7" s="1"/>
  <c r="Q17" i="7" a="1"/>
  <c r="Q17" i="7" s="1"/>
  <c r="Q16" i="7" a="1"/>
  <c r="Q16" i="7" s="1"/>
  <c r="Q15" i="7" a="1"/>
  <c r="Q15" i="7" s="1"/>
  <c r="Q14" i="7" a="1"/>
  <c r="Q14" i="7" s="1"/>
  <c r="Q13" i="7" a="1"/>
  <c r="Q13" i="7" s="1"/>
  <c r="Q12" i="7" a="1"/>
  <c r="Q12" i="7" s="1"/>
  <c r="Q11" i="7" a="1"/>
  <c r="Q11" i="7" s="1"/>
  <c r="Q10" i="7" a="1"/>
  <c r="Q10" i="7" s="1"/>
  <c r="Q9" i="7" a="1"/>
  <c r="Q9" i="7" s="1"/>
  <c r="Q8" i="7" a="1"/>
  <c r="Q8" i="7" s="1"/>
  <c r="Q7" i="7" a="1"/>
  <c r="Q7" i="7" s="1"/>
  <c r="Q6" i="7" a="1"/>
  <c r="Q6" i="7" s="1"/>
  <c r="Q5" i="7" a="1"/>
  <c r="Q5" i="7" s="1"/>
  <c r="Q4" i="7" a="1"/>
  <c r="Q4" i="7" s="1"/>
  <c r="Q3" i="7" a="1"/>
  <c r="Q3" i="7" s="1"/>
  <c r="E2" i="7"/>
  <c r="D2" i="7"/>
  <c r="Q2" i="7" s="1" a="1"/>
  <c r="Q2" i="7" s="1"/>
  <c r="R1" i="6" a="1"/>
  <c r="G33" i="5"/>
  <c r="W27" i="5"/>
  <c r="U27" i="5"/>
  <c r="T27" i="5"/>
  <c r="P27" i="5"/>
  <c r="O27" i="5"/>
  <c r="W26" i="5"/>
  <c r="S27" i="5"/>
  <c r="U26" i="5"/>
  <c r="T26" i="5"/>
  <c r="P26" i="5"/>
  <c r="O26" i="5"/>
  <c r="W25" i="5"/>
  <c r="S26" i="5"/>
  <c r="U25" i="5"/>
  <c r="T25" i="5"/>
  <c r="P25" i="5"/>
  <c r="O25" i="5"/>
  <c r="W24" i="5"/>
  <c r="S25" i="5"/>
  <c r="U24" i="5"/>
  <c r="T24" i="5"/>
  <c r="P24" i="5"/>
  <c r="O24" i="5"/>
  <c r="W23" i="5"/>
  <c r="S24" i="5"/>
  <c r="U23" i="5"/>
  <c r="T23" i="5"/>
  <c r="P23" i="5"/>
  <c r="O23" i="5"/>
  <c r="W22" i="5"/>
  <c r="S23" i="5"/>
  <c r="U22" i="5"/>
  <c r="T22" i="5"/>
  <c r="P22" i="5"/>
  <c r="O22" i="5"/>
  <c r="W21" i="5"/>
  <c r="S22" i="5"/>
  <c r="U21" i="5"/>
  <c r="T21" i="5"/>
  <c r="P21" i="5"/>
  <c r="O21" i="5"/>
  <c r="W20" i="5"/>
  <c r="S21" i="5"/>
  <c r="U20" i="5"/>
  <c r="T20" i="5"/>
  <c r="P20" i="5"/>
  <c r="O20" i="5"/>
  <c r="W19" i="5"/>
  <c r="S20" i="5"/>
  <c r="U19" i="5"/>
  <c r="T19" i="5"/>
  <c r="P19" i="5"/>
  <c r="O19" i="5"/>
  <c r="W18" i="5"/>
  <c r="S19" i="5"/>
  <c r="U18" i="5"/>
  <c r="T18" i="5"/>
  <c r="P18" i="5"/>
  <c r="O18" i="5"/>
  <c r="W17" i="5"/>
  <c r="S18" i="5"/>
  <c r="U17" i="5"/>
  <c r="T17" i="5"/>
  <c r="P17" i="5"/>
  <c r="O17" i="5"/>
  <c r="W16" i="5"/>
  <c r="S17" i="5"/>
  <c r="U16" i="5"/>
  <c r="T16" i="5"/>
  <c r="P16" i="5"/>
  <c r="O16" i="5"/>
  <c r="W15" i="5"/>
  <c r="S16" i="5"/>
  <c r="U15" i="5"/>
  <c r="T15" i="5"/>
  <c r="P15" i="5"/>
  <c r="O15" i="5"/>
  <c r="W14" i="5"/>
  <c r="S15" i="5"/>
  <c r="U14" i="5"/>
  <c r="T14" i="5"/>
  <c r="P14" i="5"/>
  <c r="O14" i="5"/>
  <c r="W13" i="5"/>
  <c r="S14" i="5"/>
  <c r="U13" i="5"/>
  <c r="T13" i="5"/>
  <c r="P13" i="5"/>
  <c r="O13" i="5"/>
  <c r="W12" i="5"/>
  <c r="S13" i="5"/>
  <c r="U12" i="5"/>
  <c r="T12" i="5"/>
  <c r="P12" i="5"/>
  <c r="O12" i="5"/>
  <c r="W11" i="5"/>
  <c r="U11" i="5"/>
  <c r="T11" i="5"/>
  <c r="P11" i="5"/>
  <c r="O11" i="5"/>
  <c r="W10" i="5"/>
  <c r="U10" i="5"/>
  <c r="T10" i="5"/>
  <c r="P10" i="5"/>
  <c r="O10" i="5"/>
  <c r="W9" i="5"/>
  <c r="U9" i="5"/>
  <c r="T9" i="5"/>
  <c r="P9" i="5"/>
  <c r="O9" i="5"/>
  <c r="W8" i="5"/>
  <c r="U8" i="5"/>
  <c r="T8" i="5"/>
  <c r="P8" i="5"/>
  <c r="O8" i="5"/>
  <c r="W7" i="5"/>
  <c r="U7" i="5"/>
  <c r="T7" i="5"/>
  <c r="P7" i="5"/>
  <c r="O7" i="5"/>
  <c r="W6" i="5"/>
  <c r="U6" i="5"/>
  <c r="T6" i="5"/>
  <c r="P6" i="5"/>
  <c r="O6" i="5"/>
  <c r="W5" i="5"/>
  <c r="U5" i="5"/>
  <c r="T5" i="5"/>
  <c r="P5" i="5"/>
  <c r="O5" i="5"/>
  <c r="W4" i="5"/>
  <c r="U4" i="5"/>
  <c r="T4" i="5"/>
  <c r="P4" i="5"/>
  <c r="O4" i="5"/>
  <c r="W3" i="5"/>
  <c r="U3" i="5"/>
  <c r="T3" i="5"/>
  <c r="S3" i="5"/>
  <c r="P3" i="5"/>
  <c r="O3" i="5"/>
  <c r="V2" i="5"/>
  <c r="U2" i="5"/>
  <c r="S2" i="5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I1" i="3"/>
  <c r="I1" i="3" a="1"/>
  <c r="J2" i="2" a="1"/>
  <c r="J2" i="2" s="1"/>
  <c r="K2" i="2" s="1" a="1"/>
  <c r="K2" i="2" s="1"/>
  <c r="H2" i="2"/>
  <c r="J1" i="2" a="1"/>
  <c r="J1" i="2" s="1"/>
  <c r="K1" i="2" s="1" a="1"/>
  <c r="K1" i="2" s="1"/>
  <c r="H1" i="2"/>
  <c r="G48" i="2" a="1"/>
  <c r="E119" i="2"/>
  <c r="E123" i="2"/>
  <c r="E25" i="2"/>
  <c r="E69" i="2"/>
  <c r="G53" i="2" a="1"/>
  <c r="E4" i="2"/>
  <c r="E96" i="2"/>
  <c r="E27" i="2"/>
  <c r="E47" i="2"/>
  <c r="E5" i="2"/>
  <c r="G92" i="2" a="1"/>
  <c r="E132" i="2"/>
  <c r="E9" i="2"/>
  <c r="G139" i="2" a="1"/>
  <c r="E51" i="2"/>
  <c r="E18" i="2"/>
  <c r="E55" i="2"/>
  <c r="E38" i="2"/>
  <c r="G133" i="2" a="1"/>
  <c r="G103" i="2" a="1"/>
  <c r="G93" i="2" a="1"/>
  <c r="G2" i="2" a="1"/>
  <c r="E116" i="2"/>
  <c r="G38" i="2" a="1"/>
  <c r="G37" i="2" a="1"/>
  <c r="E26" i="2"/>
  <c r="G119" i="2" a="1"/>
  <c r="G56" i="2" a="1"/>
  <c r="E13" i="2"/>
  <c r="E15" i="2"/>
  <c r="E40" i="2"/>
  <c r="E23" i="2"/>
  <c r="E20" i="2"/>
  <c r="G62" i="2" a="1"/>
  <c r="G131" i="2" a="1"/>
  <c r="E130" i="2"/>
  <c r="G81" i="2" a="1"/>
  <c r="E98" i="2"/>
  <c r="G100" i="2" a="1"/>
  <c r="G11" i="2" a="1"/>
  <c r="E46" i="2"/>
  <c r="E97" i="2"/>
  <c r="E124" i="2"/>
  <c r="E61" i="2"/>
  <c r="E120" i="2"/>
  <c r="E75" i="2"/>
  <c r="G84" i="2" a="1"/>
  <c r="G3" i="2" a="1"/>
  <c r="E129" i="2"/>
  <c r="G111" i="2" a="1"/>
  <c r="G13" i="2" a="1"/>
  <c r="E16" i="2"/>
  <c r="E110" i="2"/>
  <c r="G140" i="2" a="1"/>
  <c r="E107" i="2"/>
  <c r="G136" i="2" a="1"/>
  <c r="G77" i="2" a="1"/>
  <c r="G105" i="2" a="1"/>
  <c r="E79" i="2"/>
  <c r="E56" i="2"/>
  <c r="E24" i="2"/>
  <c r="E87" i="2"/>
  <c r="G85" i="2" a="1"/>
  <c r="G137" i="2" a="1"/>
  <c r="E49" i="2"/>
  <c r="G9" i="2" a="1"/>
  <c r="E114" i="2"/>
  <c r="E64" i="2"/>
  <c r="G31" i="2" a="1"/>
  <c r="E93" i="2"/>
  <c r="E2" i="2"/>
  <c r="G45" i="2" a="1"/>
  <c r="G20" i="2" a="1"/>
  <c r="G5" i="2" a="1"/>
  <c r="G43" i="2" a="1"/>
  <c r="G39" i="2" a="1"/>
  <c r="E52" i="2"/>
  <c r="G61" i="2" a="1"/>
  <c r="E45" i="2"/>
  <c r="G89" i="2" a="1"/>
  <c r="G36" i="2" a="1"/>
  <c r="G96" i="2" a="1"/>
  <c r="G33" i="2" a="1"/>
  <c r="G44" i="2" a="1"/>
  <c r="G109" i="2" a="1"/>
  <c r="G25" i="2" a="1"/>
  <c r="G122" i="2" a="1"/>
  <c r="E34" i="2"/>
  <c r="E11" i="2"/>
  <c r="G57" i="2" a="1"/>
  <c r="E50" i="2"/>
  <c r="E41" i="2"/>
  <c r="E48" i="2"/>
  <c r="G135" i="2" a="1"/>
  <c r="G83" i="2" a="1"/>
  <c r="E30" i="2"/>
  <c r="E17" i="2"/>
  <c r="E121" i="2"/>
  <c r="E42" i="2"/>
  <c r="G26" i="2" a="1"/>
  <c r="G88" i="2" a="1"/>
  <c r="G73" i="2" a="1"/>
  <c r="G79" i="2" a="1"/>
  <c r="E122" i="2"/>
  <c r="G76" i="2" a="1"/>
  <c r="E67" i="2"/>
  <c r="G130" i="2" a="1"/>
  <c r="G125" i="2" a="1"/>
  <c r="E80" i="2"/>
  <c r="G69" i="2" a="1"/>
  <c r="E104" i="2"/>
  <c r="G54" i="2" a="1"/>
  <c r="G34" i="2" a="1"/>
  <c r="E115" i="2"/>
  <c r="G128" i="2" a="1"/>
  <c r="E85" i="2"/>
  <c r="E117" i="2"/>
  <c r="G117" i="2" a="1"/>
  <c r="G10" i="2" a="1"/>
  <c r="E133" i="2"/>
  <c r="G24" i="2" a="1"/>
  <c r="E66" i="2"/>
  <c r="G64" i="2" a="1"/>
  <c r="G110" i="2" a="1"/>
  <c r="E22" i="2"/>
  <c r="G95" i="2" a="1"/>
  <c r="G132" i="2" a="1"/>
  <c r="G21" i="2" a="1"/>
  <c r="G50" i="2" a="1"/>
  <c r="G94" i="2" a="1"/>
  <c r="E28" i="2"/>
  <c r="G7" i="2" a="1"/>
  <c r="E70" i="2"/>
  <c r="G129" i="2" a="1"/>
  <c r="E54" i="2"/>
  <c r="G52" i="2" a="1"/>
  <c r="G46" i="2" a="1"/>
  <c r="E91" i="2"/>
  <c r="G104" i="2" a="1"/>
  <c r="E35" i="2"/>
  <c r="G47" i="2" a="1"/>
  <c r="E53" i="2"/>
  <c r="G138" i="2" a="1"/>
  <c r="G78" i="2" a="1"/>
  <c r="G29" i="2" a="1"/>
  <c r="G22" i="2" a="1"/>
  <c r="E14" i="2"/>
  <c r="G28" i="2" a="1"/>
  <c r="E99" i="2"/>
  <c r="G114" i="2" a="1"/>
  <c r="E108" i="2"/>
  <c r="E102" i="2"/>
  <c r="G42" i="2" a="1"/>
  <c r="E100" i="2"/>
  <c r="G116" i="2" a="1"/>
  <c r="E59" i="2"/>
  <c r="E3" i="2"/>
  <c r="E126" i="2"/>
  <c r="G14" i="2" a="1"/>
  <c r="G71" i="2" a="1"/>
  <c r="G32" i="2" a="1"/>
  <c r="E113" i="2"/>
  <c r="E78" i="2"/>
  <c r="E74" i="2"/>
  <c r="G120" i="2" a="1"/>
  <c r="G127" i="2" a="1"/>
  <c r="E36" i="2"/>
  <c r="G16" i="2" a="1"/>
  <c r="E33" i="2"/>
  <c r="E44" i="2"/>
  <c r="E8" i="2"/>
  <c r="E37" i="2"/>
  <c r="G87" i="2" a="1"/>
  <c r="E89" i="2"/>
  <c r="E103" i="2"/>
  <c r="E106" i="2"/>
  <c r="G113" i="2" a="1"/>
  <c r="G6" i="2" a="1"/>
  <c r="G65" i="2" a="1"/>
  <c r="E111" i="2"/>
  <c r="E77" i="2"/>
  <c r="E94" i="2"/>
  <c r="G82" i="2" a="1"/>
  <c r="E109" i="2"/>
  <c r="G19" i="2" a="1"/>
  <c r="G60" i="2" a="1"/>
  <c r="E65" i="2"/>
  <c r="E135" i="2"/>
  <c r="E19" i="2"/>
  <c r="E31" i="2"/>
  <c r="G30" i="2" a="1"/>
  <c r="G106" i="2" a="1"/>
  <c r="G8" i="2" a="1"/>
  <c r="G134" i="2" a="1"/>
  <c r="G90" i="2" a="1"/>
  <c r="G59" i="2" a="1"/>
  <c r="E71" i="2"/>
  <c r="G75" i="2" a="1"/>
  <c r="E88" i="2"/>
  <c r="E60" i="2"/>
  <c r="E29" i="2"/>
  <c r="E72" i="2"/>
  <c r="E32" i="2"/>
  <c r="E62" i="2"/>
  <c r="E81" i="2"/>
  <c r="E131" i="2"/>
  <c r="E12" i="2"/>
  <c r="G80" i="2" a="1"/>
  <c r="E68" i="2"/>
  <c r="E43" i="2"/>
  <c r="G66" i="2" a="1"/>
  <c r="G35" i="2" a="1"/>
  <c r="E128" i="2"/>
  <c r="G121" i="2" a="1"/>
  <c r="G115" i="2" a="1"/>
  <c r="E101" i="2"/>
  <c r="G18" i="2" a="1"/>
  <c r="G98" i="2" a="1"/>
  <c r="G15" i="2" a="1"/>
  <c r="E112" i="2"/>
  <c r="E73" i="2"/>
  <c r="E134" i="2"/>
  <c r="E10" i="2"/>
  <c r="G126" i="2" a="1"/>
  <c r="E84" i="2"/>
  <c r="G70" i="2" a="1"/>
  <c r="G99" i="2" a="1"/>
  <c r="G72" i="2" a="1"/>
  <c r="G51" i="2" a="1"/>
  <c r="G102" i="2" a="1"/>
  <c r="G118" i="2" a="1"/>
  <c r="E58" i="2"/>
  <c r="E39" i="2"/>
  <c r="G86" i="2" a="1"/>
  <c r="G4" i="2" a="1"/>
  <c r="E6" i="2"/>
  <c r="G112" i="2" a="1"/>
  <c r="G91" i="2" a="1"/>
  <c r="G41" i="2" a="1"/>
  <c r="G58" i="2" a="1"/>
  <c r="G97" i="2" a="1"/>
  <c r="E7" i="2"/>
  <c r="G123" i="2" a="1"/>
  <c r="G68" i="2" a="1"/>
  <c r="E76" i="2"/>
  <c r="E83" i="2"/>
  <c r="E90" i="2"/>
  <c r="G40" i="2" a="1"/>
  <c r="E105" i="2"/>
  <c r="E95" i="2"/>
  <c r="G55" i="2" a="1"/>
  <c r="G27" i="2" a="1"/>
  <c r="E21" i="2"/>
  <c r="G124" i="2" a="1"/>
  <c r="E125" i="2"/>
  <c r="G23" i="2" a="1"/>
  <c r="G108" i="2" a="1"/>
  <c r="G49" i="2" a="1"/>
  <c r="E57" i="2"/>
  <c r="G67" i="2" a="1"/>
  <c r="G141" i="2" a="1"/>
  <c r="E118" i="2"/>
  <c r="E127" i="2"/>
  <c r="G107" i="2" a="1"/>
  <c r="G74" i="2" a="1"/>
  <c r="G101" i="2" a="1"/>
  <c r="E86" i="2"/>
  <c r="E63" i="2"/>
  <c r="E82" i="2"/>
  <c r="G63" i="2" a="1"/>
  <c r="G12" i="2" a="1"/>
  <c r="G17" i="2" a="1"/>
  <c r="V3" i="5" l="1"/>
  <c r="S4" i="5" s="1"/>
  <c r="V4" i="5" s="1"/>
  <c r="S5" i="5" s="1"/>
  <c r="N1" i="7"/>
  <c r="H1" i="7"/>
  <c r="P1" i="6"/>
  <c r="A1" i="5"/>
  <c r="A1" i="6" s="1"/>
  <c r="B1" i="5"/>
  <c r="B1" i="6" s="1"/>
  <c r="X2" i="5"/>
  <c r="D1" i="5" s="1"/>
  <c r="G35" i="5" s="1"/>
  <c r="G4" i="2"/>
  <c r="G8" i="2"/>
  <c r="G12" i="2"/>
  <c r="G16" i="2"/>
  <c r="G20" i="2"/>
  <c r="G24" i="2"/>
  <c r="G28" i="2"/>
  <c r="G93" i="2"/>
  <c r="G99" i="2"/>
  <c r="G105" i="2"/>
  <c r="G111" i="2"/>
  <c r="G117" i="2"/>
  <c r="G123" i="2"/>
  <c r="G129" i="2"/>
  <c r="G135" i="2"/>
  <c r="G2" i="2"/>
  <c r="G40" i="2"/>
  <c r="G58" i="2"/>
  <c r="G82" i="2"/>
  <c r="G131" i="2"/>
  <c r="G34" i="2"/>
  <c r="G46" i="2"/>
  <c r="G52" i="2"/>
  <c r="G64" i="2"/>
  <c r="G70" i="2"/>
  <c r="G76" i="2"/>
  <c r="G88" i="2"/>
  <c r="G137" i="2"/>
  <c r="G95" i="2"/>
  <c r="G101" i="2"/>
  <c r="G107" i="2"/>
  <c r="G113" i="2"/>
  <c r="G119" i="2"/>
  <c r="G125" i="2"/>
  <c r="G138" i="2"/>
  <c r="G6" i="2"/>
  <c r="G10" i="2"/>
  <c r="G14" i="2"/>
  <c r="G18" i="2"/>
  <c r="G22" i="2"/>
  <c r="G26" i="2"/>
  <c r="G30" i="2"/>
  <c r="G36" i="2"/>
  <c r="G42" i="2"/>
  <c r="G48" i="2"/>
  <c r="G54" i="2"/>
  <c r="G60" i="2"/>
  <c r="G66" i="2"/>
  <c r="G72" i="2"/>
  <c r="G78" i="2"/>
  <c r="G84" i="2"/>
  <c r="G90" i="2"/>
  <c r="G140" i="2"/>
  <c r="G97" i="2"/>
  <c r="G103" i="2"/>
  <c r="G109" i="2"/>
  <c r="G115" i="2"/>
  <c r="G121" i="2"/>
  <c r="G127" i="2"/>
  <c r="G133" i="2"/>
  <c r="G141" i="2"/>
  <c r="G32" i="2"/>
  <c r="G38" i="2"/>
  <c r="G44" i="2"/>
  <c r="G50" i="2"/>
  <c r="G56" i="2"/>
  <c r="G62" i="2"/>
  <c r="G68" i="2"/>
  <c r="G74" i="2"/>
  <c r="G80" i="2"/>
  <c r="G86" i="2"/>
  <c r="G136" i="2"/>
  <c r="G92" i="2"/>
  <c r="G94" i="2"/>
  <c r="G96" i="2"/>
  <c r="G98" i="2"/>
  <c r="G100" i="2"/>
  <c r="G102" i="2"/>
  <c r="G104" i="2"/>
  <c r="G106" i="2"/>
  <c r="G108" i="2"/>
  <c r="G110" i="2"/>
  <c r="G112" i="2"/>
  <c r="G114" i="2"/>
  <c r="G116" i="2"/>
  <c r="G118" i="2"/>
  <c r="G120" i="2"/>
  <c r="G122" i="2"/>
  <c r="G124" i="2"/>
  <c r="G126" i="2"/>
  <c r="G128" i="2"/>
  <c r="G130" i="2"/>
  <c r="G132" i="2"/>
  <c r="G134" i="2"/>
  <c r="G3" i="2"/>
  <c r="G5" i="2"/>
  <c r="G7" i="2"/>
  <c r="G9" i="2"/>
  <c r="G11" i="2"/>
  <c r="G13" i="2"/>
  <c r="G15" i="2"/>
  <c r="G17" i="2"/>
  <c r="G19" i="2"/>
  <c r="G21" i="2"/>
  <c r="G23" i="2"/>
  <c r="G25" i="2"/>
  <c r="G27" i="2"/>
  <c r="G29" i="2"/>
  <c r="G31" i="2"/>
  <c r="G33" i="2"/>
  <c r="G35" i="2"/>
  <c r="G37" i="2"/>
  <c r="G39" i="2"/>
  <c r="G41" i="2"/>
  <c r="G43" i="2"/>
  <c r="G45" i="2"/>
  <c r="G47" i="2"/>
  <c r="G49" i="2"/>
  <c r="G51" i="2"/>
  <c r="G53" i="2"/>
  <c r="G55" i="2"/>
  <c r="G57" i="2"/>
  <c r="G59" i="2"/>
  <c r="G61" i="2"/>
  <c r="G63" i="2"/>
  <c r="G65" i="2"/>
  <c r="G67" i="2"/>
  <c r="G69" i="2"/>
  <c r="G71" i="2"/>
  <c r="G73" i="2"/>
  <c r="G75" i="2"/>
  <c r="G77" i="2"/>
  <c r="G79" i="2"/>
  <c r="G81" i="2"/>
  <c r="G83" i="2"/>
  <c r="G85" i="2"/>
  <c r="G87" i="2"/>
  <c r="G89" i="2"/>
  <c r="G91" i="2"/>
  <c r="G139" i="2"/>
  <c r="X1" i="5"/>
  <c r="L1" i="2" a="1"/>
  <c r="L1" i="2" s="1"/>
  <c r="M1" i="2" a="1"/>
  <c r="M1" i="2" s="1"/>
  <c r="M2" i="2" a="1"/>
  <c r="M2" i="2" s="1"/>
  <c r="L2" i="2" a="1"/>
  <c r="L2" i="2" s="1"/>
  <c r="V5" i="5" l="1"/>
  <c r="S6" i="5" s="1"/>
  <c r="Q1" i="6"/>
  <c r="R1" i="6" s="1"/>
  <c r="B2" i="5"/>
  <c r="B4" i="5" s="1"/>
  <c r="A2" i="5"/>
  <c r="A5" i="5" s="1"/>
  <c r="K7" i="6"/>
  <c r="V6" i="5" l="1"/>
  <c r="S7" i="5" s="1"/>
  <c r="S2" i="6" a="1"/>
  <c r="S2" i="6" s="1"/>
  <c r="S1" i="6" a="1"/>
  <c r="S1" i="6" s="1"/>
  <c r="B3" i="5"/>
  <c r="B5" i="5"/>
  <c r="A4" i="5"/>
  <c r="A3" i="5"/>
  <c r="S3" i="6" a="1"/>
  <c r="S4" i="6" a="1"/>
  <c r="V7" i="5" l="1"/>
  <c r="S8" i="5" s="1"/>
  <c r="S3" i="6"/>
  <c r="T3" i="6" s="1" a="1"/>
  <c r="T3" i="6" s="1"/>
  <c r="S4" i="6"/>
  <c r="T4" i="6" s="1" a="1"/>
  <c r="T4" i="6" s="1"/>
  <c r="V8" i="5" l="1"/>
  <c r="S9" i="5" s="1"/>
  <c r="V9" i="5" l="1"/>
  <c r="S10" i="5" s="1"/>
  <c r="V10" i="5" l="1"/>
  <c r="S11" i="5" s="1"/>
  <c r="V11" i="5" s="1"/>
  <c r="S12" i="5" s="1"/>
</calcChain>
</file>

<file path=xl/comments1.xml><?xml version="1.0" encoding="utf-8"?>
<comments xmlns="http://schemas.openxmlformats.org/spreadsheetml/2006/main">
  <authors>
    <author>백종오</author>
  </authors>
  <commentList>
    <comment ref="L2" authorId="0" shapeId="0">
      <text>
        <r>
          <rPr>
            <b/>
            <sz val="10"/>
            <color indexed="81"/>
            <rFont val="돋움"/>
            <family val="3"/>
            <charset val="129"/>
          </rPr>
          <t>검색</t>
        </r>
      </text>
    </comment>
  </commentList>
</comments>
</file>

<file path=xl/comments2.xml><?xml version="1.0" encoding="utf-8"?>
<comments xmlns="http://schemas.openxmlformats.org/spreadsheetml/2006/main">
  <authors>
    <author>JUNGBO04</author>
  </authors>
  <commentList>
    <comment ref="F2" authorId="0" shapeId="0">
      <text/>
    </comment>
    <comment ref="F15" authorId="0" shapeId="0">
      <text/>
    </comment>
    <comment ref="F26" authorId="0" shapeId="0">
      <text/>
    </comment>
    <comment ref="F31" authorId="0" shapeId="0">
      <text/>
    </comment>
    <comment ref="F32" authorId="0" shapeId="0">
      <text/>
    </comment>
    <comment ref="F43" authorId="0" shapeId="0">
      <text/>
    </comment>
    <comment ref="F44" authorId="0" shapeId="0">
      <text/>
    </comment>
    <comment ref="F45" authorId="0" shapeId="0">
      <text/>
    </comment>
    <comment ref="F46" authorId="0" shapeId="0">
      <text/>
    </comment>
    <comment ref="F47" authorId="0" shapeId="0">
      <text/>
    </comment>
    <comment ref="F48" authorId="0" shapeId="0">
      <text/>
    </comment>
    <comment ref="F49" authorId="0" shapeId="0">
      <text/>
    </comment>
    <comment ref="F59" authorId="0" shapeId="0">
      <text/>
    </comment>
    <comment ref="F60" authorId="0" shapeId="0">
      <text/>
    </comment>
    <comment ref="F65" authorId="0" shapeId="0">
      <text/>
    </comment>
    <comment ref="F69" authorId="0" shapeId="0">
      <text/>
    </comment>
  </commentList>
</comments>
</file>

<file path=xl/sharedStrings.xml><?xml version="1.0" encoding="utf-8"?>
<sst xmlns="http://schemas.openxmlformats.org/spreadsheetml/2006/main" count="379" uniqueCount="176">
  <si>
    <t>팀번호</t>
    <phoneticPr fontId="1" type="noConversion"/>
  </si>
  <si>
    <t>번호</t>
  </si>
  <si>
    <t>김영빈</t>
  </si>
  <si>
    <t>김효성</t>
  </si>
  <si>
    <t>노형민</t>
  </si>
  <si>
    <t>서승우</t>
  </si>
  <si>
    <t>오진수</t>
  </si>
  <si>
    <t>유법상</t>
  </si>
  <si>
    <t>이규미</t>
  </si>
  <si>
    <t>이기연</t>
  </si>
  <si>
    <t>전다훈</t>
  </si>
  <si>
    <t>차우성</t>
  </si>
  <si>
    <t>한성준</t>
  </si>
  <si>
    <t>김도현</t>
  </si>
  <si>
    <t>김민우</t>
  </si>
  <si>
    <t>김수민</t>
  </si>
  <si>
    <t>신현수</t>
  </si>
  <si>
    <t>원영철</t>
  </si>
  <si>
    <t>이정진</t>
  </si>
  <si>
    <t>이훈</t>
  </si>
  <si>
    <t>하태광</t>
  </si>
  <si>
    <t>강민성</t>
  </si>
  <si>
    <t>강승훈</t>
  </si>
  <si>
    <t>권용욱</t>
  </si>
  <si>
    <t>김민유</t>
  </si>
  <si>
    <t>김상현</t>
  </si>
  <si>
    <t>김진겸</t>
  </si>
  <si>
    <t>박준영</t>
  </si>
  <si>
    <t>윤성민</t>
  </si>
  <si>
    <t>윤제중</t>
  </si>
  <si>
    <t>윤제민</t>
  </si>
  <si>
    <t>김진중</t>
  </si>
  <si>
    <t>이훈용</t>
  </si>
  <si>
    <t>나이</t>
    <phoneticPr fontId="1" type="noConversion"/>
  </si>
  <si>
    <t>선수사진</t>
    <phoneticPr fontId="1" type="noConversion"/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</si>
  <si>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</si>
  <si>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</si>
  <si>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</si>
  <si>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</si>
  <si>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</si>
  <si>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</si>
  <si>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</si>
  <si>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</si>
  <si>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</si>
  <si>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</si>
  <si>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</si>
  <si>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</si>
  <si>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</si>
  <si>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</si>
  <si>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</si>
  <si>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</si>
  <si>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</si>
  <si>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</si>
  <si>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</si>
  <si>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</si>
  <si>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</si>
  <si>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</si>
  <si>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</si>
  <si>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</si>
  <si>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이유라</t>
  </si>
  <si>
    <t>이정복</t>
  </si>
  <si>
    <t>임수홍</t>
  </si>
  <si>
    <t>장종현</t>
  </si>
  <si>
    <t>조재영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</si>
  <si>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</si>
  <si>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</si>
  <si>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</si>
  <si>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</si>
  <si>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</si>
  <si>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</si>
  <si>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</si>
  <si>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</si>
  <si>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</si>
  <si>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</si>
  <si>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윤선영</t>
  </si>
  <si>
    <t>이건흠</t>
  </si>
  <si>
    <t>최혜성</t>
  </si>
  <si>
    <t>한상우</t>
  </si>
  <si>
    <t>정종민</t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</si>
  <si>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</si>
  <si>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</si>
  <si>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</si>
  <si>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</si>
  <si>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</si>
  <si>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</si>
  <si>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팀명</t>
  </si>
  <si>
    <t>성명</t>
  </si>
  <si>
    <t>생년월일</t>
  </si>
  <si>
    <t>동팀</t>
  </si>
  <si>
    <t>서팀</t>
  </si>
  <si>
    <t>허수한_1</t>
  </si>
  <si>
    <t>피구</t>
  </si>
  <si>
    <t>발야구</t>
  </si>
  <si>
    <t>농구</t>
  </si>
  <si>
    <t>계주</t>
  </si>
  <si>
    <t>줄다리기</t>
  </si>
  <si>
    <t>축구</t>
  </si>
  <si>
    <t>응원전</t>
  </si>
  <si>
    <t>전체</t>
  </si>
  <si>
    <t>팔씨름</t>
  </si>
  <si>
    <t>족구</t>
  </si>
  <si>
    <t>배구</t>
  </si>
  <si>
    <t>씨름</t>
  </si>
  <si>
    <t>탁구</t>
  </si>
  <si>
    <t>배드민턴</t>
  </si>
  <si>
    <t>핸드볼</t>
  </si>
  <si>
    <t>카드뒤집기</t>
  </si>
  <si>
    <t>제기차기</t>
  </si>
  <si>
    <t>닭싸움</t>
  </si>
  <si>
    <t>가위바위보</t>
  </si>
  <si>
    <t>야구</t>
  </si>
  <si>
    <t>종목번호</t>
  </si>
  <si>
    <t>1,2,3,4,5,6,7,8,9,10,11,12,13,14,15,16,17,18,19,20</t>
  </si>
  <si>
    <t>15,22,26,40</t>
  </si>
  <si>
    <t>8,21,32,41</t>
  </si>
  <si>
    <t>18,21,31,34,36,39</t>
  </si>
  <si>
    <t>5,8,10,11,29,30</t>
  </si>
  <si>
    <t>8,26,35,38</t>
  </si>
  <si>
    <t>19,22,27,31</t>
  </si>
  <si>
    <t>31,32,33,34,35,36,37,38,39,40,41</t>
  </si>
  <si>
    <t>33,34,35,36,37,38,39,40,41,42,43</t>
  </si>
  <si>
    <t>10,14,19,23,33</t>
  </si>
  <si>
    <t>1,4,9,16,28</t>
  </si>
  <si>
    <t>1,2,4,10,11,26</t>
  </si>
  <si>
    <t>5,6,11,21,34,41</t>
  </si>
  <si>
    <t>9,30,31,38,41</t>
  </si>
  <si>
    <t>1,2,5,11,12</t>
  </si>
  <si>
    <t>5,12,21,22,29,36</t>
  </si>
  <si>
    <t>3,4,9,22,26,31</t>
  </si>
  <si>
    <t>1,2,3,4,5,6,7,8,9</t>
  </si>
  <si>
    <t>11,24,29,32,37</t>
    <phoneticPr fontId="1" type="noConversion"/>
  </si>
  <si>
    <t>3,6,9,18,26</t>
    <phoneticPr fontId="1" type="noConversion"/>
  </si>
  <si>
    <t>김수민_1</t>
  </si>
  <si>
    <t>허수한_2</t>
  </si>
  <si>
    <t>남궁유경</t>
    <phoneticPr fontId="1" type="noConversion"/>
  </si>
  <si>
    <t>이산</t>
    <phoneticPr fontId="1" type="noConversion"/>
  </si>
  <si>
    <t>이겸</t>
    <phoneticPr fontId="1" type="noConversion"/>
  </si>
  <si>
    <t>김영빈</t>
    <phoneticPr fontId="1" type="noConversion"/>
  </si>
  <si>
    <t>이상</t>
    <phoneticPr fontId="1" type="noConversion"/>
  </si>
  <si>
    <t>이상_1</t>
    <phoneticPr fontId="1" type="noConversion"/>
  </si>
  <si>
    <t>이상원</t>
    <phoneticPr fontId="1" type="noConversion"/>
  </si>
  <si>
    <t>d</t>
    <phoneticPr fontId="1" type="noConversion"/>
  </si>
  <si>
    <t>점수판</t>
    <phoneticPr fontId="1" type="noConversion"/>
  </si>
  <si>
    <t>동</t>
    <phoneticPr fontId="1" type="noConversion"/>
  </si>
  <si>
    <t>서</t>
    <phoneticPr fontId="1" type="noConversion"/>
  </si>
  <si>
    <t>시작</t>
    <phoneticPr fontId="1" type="noConversion"/>
  </si>
  <si>
    <t>빨기간</t>
    <phoneticPr fontId="1" type="noConversion"/>
  </si>
  <si>
    <t>파기간</t>
    <phoneticPr fontId="1" type="noConversion"/>
  </si>
  <si>
    <t>끝</t>
    <phoneticPr fontId="1" type="noConversion"/>
  </si>
  <si>
    <t>개막</t>
    <phoneticPr fontId="1" type="noConversion"/>
  </si>
  <si>
    <t xml:space="preserve"> </t>
    <phoneticPr fontId="1" type="noConversion"/>
  </si>
  <si>
    <t>중앙</t>
    <phoneticPr fontId="1" type="noConversion"/>
  </si>
  <si>
    <t>왼별</t>
    <phoneticPr fontId="1" type="noConversion"/>
  </si>
  <si>
    <t>왼트</t>
    <phoneticPr fontId="1" type="noConversion"/>
  </si>
  <si>
    <t>오별</t>
    <phoneticPr fontId="1" type="noConversion"/>
  </si>
  <si>
    <t>오트</t>
    <phoneticPr fontId="1" type="noConversion"/>
  </si>
  <si>
    <t>value</t>
    <phoneticPr fontId="1" type="noConversion"/>
  </si>
  <si>
    <t>x</t>
    <phoneticPr fontId="1" type="noConversion"/>
  </si>
  <si>
    <t>y</t>
    <phoneticPr fontId="1" type="noConversion"/>
  </si>
  <si>
    <t>size</t>
    <phoneticPr fontId="1" type="noConversion"/>
  </si>
  <si>
    <t>동팀 참가학생(번호)</t>
    <phoneticPr fontId="1" type="noConversion"/>
  </si>
  <si>
    <t>ddd</t>
    <phoneticPr fontId="1" type="noConversion"/>
  </si>
  <si>
    <t>1,2,40,41</t>
    <phoneticPr fontId="1" type="noConversion"/>
  </si>
  <si>
    <t>1,2,47,49</t>
    <phoneticPr fontId="1" type="noConversion"/>
  </si>
  <si>
    <t>L</t>
    <phoneticPr fontId="1" type="noConversion"/>
  </si>
  <si>
    <t>선수등록</t>
    <phoneticPr fontId="1" type="noConversion"/>
  </si>
  <si>
    <t>허수한</t>
    <phoneticPr fontId="1" type="noConversion"/>
  </si>
  <si>
    <t>*20*</t>
    <phoneticPr fontId="1" type="noConversion"/>
  </si>
  <si>
    <t>X</t>
    <phoneticPr fontId="1" type="noConversion"/>
  </si>
  <si>
    <t>O</t>
    <phoneticPr fontId="1" type="noConversion"/>
  </si>
  <si>
    <t>족구</t>
    <phoneticPr fontId="1" type="noConversion"/>
  </si>
  <si>
    <t>Day-5</t>
  </si>
  <si>
    <t>X</t>
    <phoneticPr fontId="1" type="noConversion"/>
  </si>
  <si>
    <t>X</t>
    <phoneticPr fontId="1" type="noConversion"/>
  </si>
  <si>
    <t>O</t>
    <phoneticPr fontId="1" type="noConversion"/>
  </si>
  <si>
    <t>동팀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</si>
</sst>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412]AM/PM\ h:mm;@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indexed="81"/>
      <name val="돋움"/>
      <family val="3"/>
      <charset val="129"/>
    </font>
    <font>
      <b/>
      <sz val="72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26"/>
      <color theme="1"/>
      <name val="Webdings"/>
      <family val="1"/>
      <charset val="2"/>
    </font>
    <font>
      <b/>
      <sz val="24"/>
      <color theme="1"/>
      <name val="맑은 고딕"/>
      <family val="3"/>
      <charset val="129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0" borderId="0" xfId="0" applyFont="1">
      <alignment vertical="center"/>
    </xf>
    <xf numFmtId="176" fontId="0" fillId="0" borderId="0" xfId="0" applyNumberFormat="1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1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3333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3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01333617081649"/>
          <c:y val="9.8506477592148589E-2"/>
          <c:w val="0.85879917712988574"/>
          <c:h val="0.8314511368638154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스케줄!$S$1</c:f>
              <c:strCache>
                <c:ptCount val="1"/>
                <c:pt idx="0">
                  <c:v>시작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cat>
            <c:strRef>
              <c:f>스케줄!$R$2:$R$11</c:f>
              <c:strCache>
                <c:ptCount val="1"/>
                <c:pt idx="0">
                  <c:v>개막</c:v>
                </c:pt>
              </c:strCache>
            </c:strRef>
          </c:cat>
          <c:val>
            <c:numRef>
              <c:f>스케줄!$S$2:$S$11</c:f>
              <c:numCache>
                <c:formatCode>[$-412]AM/PM\ h:mm;@</c:formatCode>
                <c:ptCount val="10"/>
                <c:pt idx="0">
                  <c:v>0.375</c:v>
                </c:pt>
                <c:pt idx="1">
                  <c:v>0.39583333333333331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8-4FAB-99EA-4B0EA9E748DE}"/>
            </c:ext>
          </c:extLst>
        </c:ser>
        <c:ser>
          <c:idx val="1"/>
          <c:order val="1"/>
          <c:tx>
            <c:strRef>
              <c:f>스케줄!$T$1</c:f>
              <c:strCache>
                <c:ptCount val="1"/>
                <c:pt idx="0">
                  <c:v>빨기간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스케줄!$R$2:$R$11</c:f>
              <c:strCache>
                <c:ptCount val="1"/>
                <c:pt idx="0">
                  <c:v>개막</c:v>
                </c:pt>
              </c:strCache>
            </c:strRef>
          </c:cat>
          <c:val>
            <c:numRef>
              <c:f>스케줄!$T$2:$T$11</c:f>
              <c:numCache>
                <c:formatCode>[$-412]AM/PM\ h:mm;@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D0-47D6-B6E2-C1E53F48ED79}"/>
            </c:ext>
          </c:extLst>
        </c:ser>
        <c:ser>
          <c:idx val="2"/>
          <c:order val="2"/>
          <c:tx>
            <c:strRef>
              <c:f>스케줄!$U$1</c:f>
              <c:strCache>
                <c:ptCount val="1"/>
                <c:pt idx="0">
                  <c:v>파기간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스케줄!$R$2:$R$11</c:f>
              <c:strCache>
                <c:ptCount val="1"/>
                <c:pt idx="0">
                  <c:v>개막</c:v>
                </c:pt>
              </c:strCache>
            </c:strRef>
          </c:cat>
          <c:val>
            <c:numRef>
              <c:f>스케줄!$U$2:$U$11</c:f>
              <c:numCache>
                <c:formatCode>[$-412]AM/PM\ h:mm;@</c:formatCode>
                <c:ptCount val="10"/>
                <c:pt idx="0">
                  <c:v>2.0833333333333332E-2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D0-47D6-B6E2-C1E53F48ED79}"/>
            </c:ext>
          </c:extLst>
        </c:ser>
        <c:ser>
          <c:idx val="3"/>
          <c:order val="3"/>
          <c:tx>
            <c:strRef>
              <c:f>스케줄!$V$1</c:f>
              <c:strCache>
                <c:ptCount val="1"/>
                <c:pt idx="0">
                  <c:v>끝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</a:extLst>
          </c:spPr>
          <c:invertIfNegative val="0"/>
          <c:cat>
            <c:strRef>
              <c:f>스케줄!$R$2:$R$11</c:f>
              <c:strCache>
                <c:ptCount val="1"/>
                <c:pt idx="0">
                  <c:v>개막</c:v>
                </c:pt>
              </c:strCache>
            </c:strRef>
          </c:cat>
          <c:val>
            <c:numRef>
              <c:f>스케줄!$V$2:$V$11</c:f>
              <c:numCache>
                <c:formatCode>[$-412]AM/PM\ h:mm;@</c:formatCode>
                <c:ptCount val="10"/>
                <c:pt idx="0">
                  <c:v>0.39583333333333331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D0-47D6-B6E2-C1E53F48E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8298559"/>
        <c:axId val="1968299807"/>
      </c:barChart>
      <c:catAx>
        <c:axId val="19682985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8299807"/>
        <c:crosses val="autoZero"/>
        <c:auto val="1"/>
        <c:lblAlgn val="ctr"/>
        <c:lblOffset val="100"/>
        <c:noMultiLvlLbl val="0"/>
      </c:catAx>
      <c:valAx>
        <c:axId val="1968299807"/>
        <c:scaling>
          <c:orientation val="minMax"/>
          <c:max val="0.72000000000000008"/>
          <c:min val="0.37500000000000006"/>
        </c:scaling>
        <c:delete val="0"/>
        <c:axPos val="t"/>
        <c:majorGridlines>
          <c:spPr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</c:majorGridlines>
        <c:numFmt formatCode="h:mm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8298559"/>
        <c:crosses val="autoZero"/>
        <c:crossBetween val="between"/>
        <c:majorUnit val="2.0833300000000003E-2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chemeClr val="tx1"/>
                </a:solidFill>
              </a:rPr>
              <a:t>팀별 승률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경기현황!$H$2</c:f>
              <c:strCache>
                <c:ptCount val="1"/>
                <c:pt idx="0">
                  <c:v>중앙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경기현황!$I$2</c:f>
              <c:numCache>
                <c:formatCode>General</c:formatCode>
                <c:ptCount val="1"/>
                <c:pt idx="0">
                  <c:v>50</c:v>
                </c:pt>
              </c:numCache>
            </c:numRef>
          </c:xVal>
          <c:yVal>
            <c:numRef>
              <c:f>경기현황!$J$2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bubbleSize>
            <c:numRef>
              <c:f>경기현황!$K$2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029B-488A-B8F5-91F4AC2532BE}"/>
            </c:ext>
          </c:extLst>
        </c:ser>
        <c:ser>
          <c:idx val="1"/>
          <c:order val="1"/>
          <c:tx>
            <c:strRef>
              <c:f>경기현황!$H$3</c:f>
              <c:strCache>
                <c:ptCount val="1"/>
                <c:pt idx="0">
                  <c:v>왼별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</c:spPr>
          <c:invertIfNegative val="0"/>
          <c:xVal>
            <c:numRef>
              <c:f>경기현황!$I$3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경기현황!$J$3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bubbleSize>
            <c:numRef>
              <c:f>경기현황!$K$3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029B-488A-B8F5-91F4AC2532BE}"/>
            </c:ext>
          </c:extLst>
        </c:ser>
        <c:ser>
          <c:idx val="2"/>
          <c:order val="2"/>
          <c:tx>
            <c:strRef>
              <c:f>경기현황!$H$4</c:f>
              <c:strCache>
                <c:ptCount val="1"/>
                <c:pt idx="0">
                  <c:v>왼트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경기현황!$I$4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경기현황!$J$4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bubbleSize>
            <c:numRef>
              <c:f>경기현황!$K$4</c:f>
              <c:numCache>
                <c:formatCode>General</c:formatCode>
                <c:ptCount val="1"/>
                <c:pt idx="0">
                  <c:v>30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6-029B-488A-B8F5-91F4AC2532BE}"/>
            </c:ext>
          </c:extLst>
        </c:ser>
        <c:ser>
          <c:idx val="3"/>
          <c:order val="3"/>
          <c:tx>
            <c:strRef>
              <c:f>경기현황!$H$5</c:f>
              <c:strCache>
                <c:ptCount val="1"/>
                <c:pt idx="0">
                  <c:v>오별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</c:spPr>
          <c:invertIfNegative val="0"/>
          <c:xVal>
            <c:numRef>
              <c:f>경기현황!$I$5</c:f>
              <c:numCache>
                <c:formatCode>General</c:formatCode>
                <c:ptCount val="1"/>
                <c:pt idx="0">
                  <c:v>85</c:v>
                </c:pt>
              </c:numCache>
            </c:numRef>
          </c:xVal>
          <c:yVal>
            <c:numRef>
              <c:f>경기현황!$J$5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bubbleSize>
            <c:numRef>
              <c:f>경기현황!$K$5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029B-488A-B8F5-91F4AC2532BE}"/>
            </c:ext>
          </c:extLst>
        </c:ser>
        <c:ser>
          <c:idx val="4"/>
          <c:order val="4"/>
          <c:tx>
            <c:strRef>
              <c:f>경기현황!$H$6</c:f>
              <c:strCache>
                <c:ptCount val="1"/>
                <c:pt idx="0">
                  <c:v>오트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경기현황!$I$6</c:f>
              <c:numCache>
                <c:formatCode>General</c:formatCode>
                <c:ptCount val="1"/>
                <c:pt idx="0">
                  <c:v>85</c:v>
                </c:pt>
              </c:numCache>
            </c:numRef>
          </c:xVal>
          <c:yVal>
            <c:numRef>
              <c:f>경기현황!$J$6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bubbleSize>
            <c:numRef>
              <c:f>경기현황!$K$6</c:f>
              <c:numCache>
                <c:formatCode>General</c:formatCode>
                <c:ptCount val="1"/>
                <c:pt idx="0">
                  <c:v>90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8-029B-488A-B8F5-91F4AC2532BE}"/>
            </c:ext>
          </c:extLst>
        </c:ser>
        <c:ser>
          <c:idx val="5"/>
          <c:order val="5"/>
          <c:tx>
            <c:strRef>
              <c:f>경기현황!$H$7</c:f>
              <c:strCache>
                <c:ptCount val="1"/>
                <c:pt idx="0">
                  <c:v>value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경기현황!$I$7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경기현황!$J$7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경기현황!$K$7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029B-488A-B8F5-91F4AC253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0"/>
        <c:showNegBubbles val="0"/>
        <c:axId val="1507170272"/>
        <c:axId val="1507169440"/>
      </c:bubbleChart>
      <c:valAx>
        <c:axId val="1507170272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1507169440"/>
        <c:crosses val="autoZero"/>
        <c:crossBetween val="midCat"/>
      </c:valAx>
      <c:valAx>
        <c:axId val="150716944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50717027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0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jpeg"/><Relationship Id="rId13" Type="http://schemas.openxmlformats.org/officeDocument/2006/relationships/image" Target="../media/image21.jpeg"/><Relationship Id="rId3" Type="http://schemas.openxmlformats.org/officeDocument/2006/relationships/image" Target="../media/image11.jpeg"/><Relationship Id="rId7" Type="http://schemas.openxmlformats.org/officeDocument/2006/relationships/image" Target="../media/image15.jpeg"/><Relationship Id="rId12" Type="http://schemas.openxmlformats.org/officeDocument/2006/relationships/image" Target="../media/image20.jpeg"/><Relationship Id="rId17" Type="http://schemas.openxmlformats.org/officeDocument/2006/relationships/image" Target="../media/image25.jpeg"/><Relationship Id="rId2" Type="http://schemas.openxmlformats.org/officeDocument/2006/relationships/image" Target="../media/image10.jpeg"/><Relationship Id="rId16" Type="http://schemas.openxmlformats.org/officeDocument/2006/relationships/image" Target="../media/image24.jpeg"/><Relationship Id="rId1" Type="http://schemas.openxmlformats.org/officeDocument/2006/relationships/image" Target="../media/image9.emf"/><Relationship Id="rId6" Type="http://schemas.openxmlformats.org/officeDocument/2006/relationships/image" Target="../media/image14.jpeg"/><Relationship Id="rId11" Type="http://schemas.openxmlformats.org/officeDocument/2006/relationships/image" Target="../media/image19.jpeg"/><Relationship Id="rId5" Type="http://schemas.openxmlformats.org/officeDocument/2006/relationships/image" Target="../media/image13.jpeg"/><Relationship Id="rId15" Type="http://schemas.openxmlformats.org/officeDocument/2006/relationships/image" Target="../media/image23.jpeg"/><Relationship Id="rId10" Type="http://schemas.openxmlformats.org/officeDocument/2006/relationships/image" Target="../media/image18.jpeg"/><Relationship Id="rId4" Type="http://schemas.openxmlformats.org/officeDocument/2006/relationships/image" Target="../media/image12.jpeg"/><Relationship Id="rId9" Type="http://schemas.openxmlformats.org/officeDocument/2006/relationships/image" Target="../media/image17.jpeg"/><Relationship Id="rId14" Type="http://schemas.openxmlformats.org/officeDocument/2006/relationships/image" Target="../media/image2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400050</xdr:colOff>
      <xdr:row>0</xdr:row>
      <xdr:rowOff>0</xdr:rowOff>
    </xdr:from>
    <xdr:to>
      <xdr:col>14</xdr:col>
      <xdr:colOff>400050</xdr:colOff>
      <xdr:row>7</xdr:row>
      <xdr:rowOff>179295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05600" y="0"/>
          <a:ext cx="3429000" cy="164614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</xdr:col>
      <xdr:colOff>266700</xdr:colOff>
      <xdr:row>1</xdr:row>
      <xdr:rowOff>142875</xdr:rowOff>
    </xdr:from>
    <xdr:ext cx="4496231" cy="1289712"/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71650" y="352425"/>
          <a:ext cx="4496231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0" cap="none" spc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정보 체육대회</a:t>
          </a:r>
          <a:endParaRPr lang="en-US" altLang="ko-KR" sz="5400" b="0" cap="none" spc="0">
            <a:ln w="0"/>
            <a:solidFill>
              <a:schemeClr val="accent6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21</xdr:row>
          <xdr:rowOff>0</xdr:rowOff>
        </xdr:from>
        <xdr:to>
          <xdr:col>5</xdr:col>
          <xdr:colOff>171450</xdr:colOff>
          <xdr:row>23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21</xdr:row>
          <xdr:rowOff>0</xdr:rowOff>
        </xdr:from>
        <xdr:to>
          <xdr:col>7</xdr:col>
          <xdr:colOff>409575</xdr:colOff>
          <xdr:row>23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24</xdr:row>
          <xdr:rowOff>0</xdr:rowOff>
        </xdr:from>
        <xdr:to>
          <xdr:col>6</xdr:col>
          <xdr:colOff>390525</xdr:colOff>
          <xdr:row>26</xdr:row>
          <xdr:rowOff>0</xdr:rowOff>
        </xdr:to>
        <xdr:sp macro="" textlink="">
          <xdr:nvSpPr>
            <xdr:cNvPr id="1032" name="CommandButton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0</xdr:row>
          <xdr:rowOff>142875</xdr:rowOff>
        </xdr:from>
        <xdr:to>
          <xdr:col>8</xdr:col>
          <xdr:colOff>266700</xdr:colOff>
          <xdr:row>2</xdr:row>
          <xdr:rowOff>142875</xdr:rowOff>
        </xdr:to>
        <xdr:sp macro="" textlink="">
          <xdr:nvSpPr>
            <xdr:cNvPr id="2097" name="CommandButton1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95250</xdr:rowOff>
        </xdr:from>
        <xdr:to>
          <xdr:col>7</xdr:col>
          <xdr:colOff>85725</xdr:colOff>
          <xdr:row>2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0</xdr:row>
          <xdr:rowOff>85725</xdr:rowOff>
        </xdr:from>
        <xdr:to>
          <xdr:col>6</xdr:col>
          <xdr:colOff>66675</xdr:colOff>
          <xdr:row>2</xdr:row>
          <xdr:rowOff>85725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2</xdr:row>
          <xdr:rowOff>0</xdr:rowOff>
        </xdr:from>
        <xdr:to>
          <xdr:col>13</xdr:col>
          <xdr:colOff>200025</xdr:colOff>
          <xdr:row>4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387805</xdr:colOff>
          <xdr:row>6</xdr:row>
          <xdr:rowOff>27214</xdr:rowOff>
        </xdr:from>
        <xdr:to>
          <xdr:col>5</xdr:col>
          <xdr:colOff>462718</xdr:colOff>
          <xdr:row>12</xdr:row>
          <xdr:rowOff>13607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왼1" spid="_x0000_s2135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109234" y="1251857"/>
              <a:ext cx="755270" cy="1211036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2</xdr:col>
      <xdr:colOff>228600</xdr:colOff>
      <xdr:row>13</xdr:row>
      <xdr:rowOff>76200</xdr:rowOff>
    </xdr:from>
    <xdr:to>
      <xdr:col>12</xdr:col>
      <xdr:colOff>419100</xdr:colOff>
      <xdr:row>31</xdr:row>
      <xdr:rowOff>114299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272143</xdr:colOff>
          <xdr:row>6</xdr:row>
          <xdr:rowOff>27214</xdr:rowOff>
        </xdr:from>
        <xdr:to>
          <xdr:col>6</xdr:col>
          <xdr:colOff>347056</xdr:colOff>
          <xdr:row>12</xdr:row>
          <xdr:rowOff>13607</xdr:rowOff>
        </xdr:to>
        <xdr:pic>
          <xdr:nvPicPr>
            <xdr:cNvPr id="23" name="그림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왼2" spid="_x0000_s21357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673929" y="1251857"/>
              <a:ext cx="755270" cy="121103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170015</xdr:colOff>
          <xdr:row>6</xdr:row>
          <xdr:rowOff>27214</xdr:rowOff>
        </xdr:from>
        <xdr:to>
          <xdr:col>7</xdr:col>
          <xdr:colOff>244928</xdr:colOff>
          <xdr:row>12</xdr:row>
          <xdr:rowOff>13607</xdr:rowOff>
        </xdr:to>
        <xdr:pic>
          <xdr:nvPicPr>
            <xdr:cNvPr id="24" name="그림 23"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왼3" spid="_x0000_s21358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4252158" y="1251857"/>
              <a:ext cx="755270" cy="121103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142878</xdr:colOff>
          <xdr:row>6</xdr:row>
          <xdr:rowOff>13607</xdr:rowOff>
        </xdr:from>
        <xdr:to>
          <xdr:col>9</xdr:col>
          <xdr:colOff>217791</xdr:colOff>
          <xdr:row>12</xdr:row>
          <xdr:rowOff>0</xdr:rowOff>
        </xdr:to>
        <xdr:pic>
          <xdr:nvPicPr>
            <xdr:cNvPr id="25" name="그림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오1" spid="_x0000_s2135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585735" y="1238250"/>
              <a:ext cx="755270" cy="121103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27216</xdr:colOff>
          <xdr:row>6</xdr:row>
          <xdr:rowOff>13607</xdr:rowOff>
        </xdr:from>
        <xdr:to>
          <xdr:col>10</xdr:col>
          <xdr:colOff>102129</xdr:colOff>
          <xdr:row>12</xdr:row>
          <xdr:rowOff>0</xdr:rowOff>
        </xdr:to>
        <xdr:pic>
          <xdr:nvPicPr>
            <xdr:cNvPr id="26" name="그림 25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오2" spid="_x0000_s2136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6150430" y="1238250"/>
              <a:ext cx="755270" cy="121103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594239</xdr:colOff>
          <xdr:row>6</xdr:row>
          <xdr:rowOff>13608</xdr:rowOff>
        </xdr:from>
        <xdr:to>
          <xdr:col>10</xdr:col>
          <xdr:colOff>672353</xdr:colOff>
          <xdr:row>12</xdr:row>
          <xdr:rowOff>1</xdr:rowOff>
        </xdr:to>
        <xdr:pic>
          <xdr:nvPicPr>
            <xdr:cNvPr id="27" name="그림 26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오3" spid="_x0000_s2136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6746268" y="1291079"/>
              <a:ext cx="761673" cy="126386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32</xdr:row>
          <xdr:rowOff>76200</xdr:rowOff>
        </xdr:from>
        <xdr:to>
          <xdr:col>3</xdr:col>
          <xdr:colOff>504825</xdr:colOff>
          <xdr:row>34</xdr:row>
          <xdr:rowOff>285750</xdr:rowOff>
        </xdr:to>
        <xdr:sp macro="" textlink="">
          <xdr:nvSpPr>
            <xdr:cNvPr id="5134" name="CommandButton2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32</xdr:row>
          <xdr:rowOff>47625</xdr:rowOff>
        </xdr:from>
        <xdr:to>
          <xdr:col>12</xdr:col>
          <xdr:colOff>419100</xdr:colOff>
          <xdr:row>34</xdr:row>
          <xdr:rowOff>257175</xdr:rowOff>
        </xdr:to>
        <xdr:sp macro="" textlink="">
          <xdr:nvSpPr>
            <xdr:cNvPr id="5135" name="CommandButton3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95250</xdr:rowOff>
        </xdr:from>
        <xdr:to>
          <xdr:col>14</xdr:col>
          <xdr:colOff>104775</xdr:colOff>
          <xdr:row>2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12</xdr:col>
      <xdr:colOff>0</xdr:colOff>
      <xdr:row>22</xdr:row>
      <xdr:rowOff>209549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272303</xdr:colOff>
      <xdr:row>5</xdr:row>
      <xdr:rowOff>184687</xdr:rowOff>
    </xdr:from>
    <xdr:ext cx="2095500" cy="535852"/>
    <xdr:sp macro="" textlink="">
      <xdr:nvSpPr>
        <xdr:cNvPr id="3" name="동팀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72303" y="1232437"/>
          <a:ext cx="2095500" cy="5358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ko-KR" altLang="en-US" sz="2000" b="1">
              <a:solidFill>
                <a:srgbClr val="0070C0"/>
              </a:solidFill>
            </a:rPr>
            <a:t>동팀</a:t>
          </a:r>
        </a:p>
      </xdr:txBody>
    </xdr:sp>
    <xdr:clientData/>
  </xdr:oneCellAnchor>
  <xdr:oneCellAnchor>
    <xdr:from>
      <xdr:col>8</xdr:col>
      <xdr:colOff>336737</xdr:colOff>
      <xdr:row>6</xdr:row>
      <xdr:rowOff>350</xdr:rowOff>
    </xdr:from>
    <xdr:ext cx="2095500" cy="535852"/>
    <xdr:sp macro="" textlink="">
      <xdr:nvSpPr>
        <xdr:cNvPr id="7" name="서팀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5823137" y="1257650"/>
          <a:ext cx="2095500" cy="5358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ko-KR" altLang="en-US" sz="2000" b="1">
              <a:solidFill>
                <a:srgbClr val="FF0000"/>
              </a:solidFill>
            </a:rPr>
            <a:t>서팀</a:t>
          </a:r>
        </a:p>
      </xdr:txBody>
    </xdr:sp>
    <xdr:clientData/>
  </xdr:oneCellAnchor>
  <xdr:oneCellAnchor>
    <xdr:from>
      <xdr:col>1</xdr:col>
      <xdr:colOff>471207</xdr:colOff>
      <xdr:row>9</xdr:row>
      <xdr:rowOff>81593</xdr:rowOff>
    </xdr:from>
    <xdr:ext cx="6138581" cy="1068049"/>
    <xdr:sp macro="" textlink="">
      <xdr:nvSpPr>
        <xdr:cNvPr id="8" name="커버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157007" y="1967543"/>
          <a:ext cx="6138581" cy="10680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ko-KR" altLang="en-US" sz="4400" b="1">
              <a:solidFill>
                <a:srgbClr val="FF0000"/>
              </a:solidFill>
            </a:rPr>
            <a:t>데이터가 없습니다</a:t>
          </a:r>
          <a:r>
            <a:rPr lang="en-US" altLang="ko-KR" sz="4400" b="1">
              <a:solidFill>
                <a:srgbClr val="FF0000"/>
              </a:solidFill>
            </a:rPr>
            <a:t>.</a:t>
          </a:r>
          <a:endParaRPr lang="ko-KR" altLang="en-US" sz="4400" b="1">
            <a:solidFill>
              <a:srgbClr val="FF0000"/>
            </a:solidFill>
          </a:endParaRPr>
        </a:p>
      </xdr:txBody>
    </xdr:sp>
    <xdr:clientData/>
  </xdr:oneCellAnchor>
  <xdr:oneCellAnchor>
    <xdr:from>
      <xdr:col>0</xdr:col>
      <xdr:colOff>293034</xdr:colOff>
      <xdr:row>16</xdr:row>
      <xdr:rowOff>165076</xdr:rowOff>
    </xdr:from>
    <xdr:ext cx="2095500" cy="854099"/>
    <xdr:sp macro="" textlink="">
      <xdr:nvSpPr>
        <xdr:cNvPr id="9" name="동팀선수" title="MVP차우성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93034" y="3517876"/>
          <a:ext cx="2095500" cy="8540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altLang="ko-KR" sz="2000" b="1">
              <a:solidFill>
                <a:srgbClr val="0070C0"/>
              </a:solidFill>
            </a:rPr>
            <a:t>ACE</a:t>
          </a:r>
        </a:p>
        <a:p>
          <a:pPr algn="ctr"/>
          <a:r>
            <a:rPr lang="ko-KR" altLang="en-US" sz="2000" b="1">
              <a:solidFill>
                <a:srgbClr val="0070C0"/>
              </a:solidFill>
            </a:rPr>
            <a:t>김수민</a:t>
          </a:r>
        </a:p>
      </xdr:txBody>
    </xdr:sp>
    <xdr:clientData/>
  </xdr:oneCellAnchor>
  <xdr:oneCellAnchor>
    <xdr:from>
      <xdr:col>8</xdr:col>
      <xdr:colOff>402851</xdr:colOff>
      <xdr:row>16</xdr:row>
      <xdr:rowOff>100642</xdr:rowOff>
    </xdr:from>
    <xdr:ext cx="2095500" cy="1127523"/>
    <xdr:sp macro="" textlink="">
      <xdr:nvSpPr>
        <xdr:cNvPr id="10" name="서팀선수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5889251" y="3453442"/>
          <a:ext cx="2095500" cy="11275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altLang="ko-KR" sz="2000" b="1">
              <a:solidFill>
                <a:srgbClr val="FF0000"/>
              </a:solidFill>
            </a:rPr>
            <a:t>MVP</a:t>
          </a:r>
        </a:p>
        <a:p>
          <a:pPr algn="ctr"/>
          <a:r>
            <a:rPr lang="ko-KR" altLang="en-US" sz="2000" b="1">
              <a:solidFill>
                <a:srgbClr val="FF0000"/>
              </a:solidFill>
            </a:rPr>
            <a:t>김홍경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69272</xdr:colOff>
      <xdr:row>0</xdr:row>
      <xdr:rowOff>51955</xdr:rowOff>
    </xdr:from>
    <xdr:to>
      <xdr:col>0</xdr:col>
      <xdr:colOff>1021772</xdr:colOff>
      <xdr:row>0</xdr:row>
      <xdr:rowOff>1964023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69272" y="51955"/>
          <a:ext cx="952500" cy="1912068"/>
          <a:chOff x="2876549" y="653142"/>
          <a:chExt cx="1834243" cy="3682097"/>
        </a:xfrm>
      </xdr:grpSpPr>
      <xdr:sp macro="" textlink="">
        <xdr:nvSpPr>
          <xdr:cNvPr id="2" name="직사각형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>
            <a:off x="3061607" y="65314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" name="직사각형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 rot="5400000">
            <a:off x="3880757" y="152672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209800" y="1515837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5400000">
            <a:off x="2223407" y="3284766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 rot="10800000">
            <a:off x="3069771" y="4185560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900547</xdr:colOff>
      <xdr:row>1</xdr:row>
      <xdr:rowOff>121227</xdr:rowOff>
    </xdr:from>
    <xdr:to>
      <xdr:col>0</xdr:col>
      <xdr:colOff>985339</xdr:colOff>
      <xdr:row>1</xdr:row>
      <xdr:rowOff>1810007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900547" y="2654877"/>
          <a:ext cx="84792" cy="1688780"/>
          <a:chOff x="4547506" y="859973"/>
          <a:chExt cx="163286" cy="3252107"/>
        </a:xfrm>
      </xdr:grpSpPr>
      <xdr:sp macro="" textlink="">
        <xdr:nvSpPr>
          <xdr:cNvPr id="13" name="직사각형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 rot="5400000">
            <a:off x="3880757" y="152672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" name="직사각형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51955</xdr:colOff>
      <xdr:row>2</xdr:row>
      <xdr:rowOff>103909</xdr:rowOff>
    </xdr:from>
    <xdr:to>
      <xdr:col>0</xdr:col>
      <xdr:colOff>990323</xdr:colOff>
      <xdr:row>2</xdr:row>
      <xdr:rowOff>2015977</xdr:rowOff>
    </xdr:to>
    <xdr:grpSp>
      <xdr:nvGrpSpPr>
        <xdr:cNvPr id="19" name="그룹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pSpPr/>
      </xdr:nvGrpSpPr>
      <xdr:grpSpPr>
        <a:xfrm>
          <a:off x="51955" y="5171209"/>
          <a:ext cx="938368" cy="1912068"/>
          <a:chOff x="2890156" y="653142"/>
          <a:chExt cx="1807029" cy="3682097"/>
        </a:xfrm>
      </xdr:grpSpPr>
      <xdr:sp macro="" textlink="">
        <xdr:nvSpPr>
          <xdr:cNvPr id="20" name="직사각형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3061607" y="65314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" name="직사각형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 rot="5400000">
            <a:off x="3880757" y="152672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" name="직사각형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/>
        </xdr:nvSpPr>
        <xdr:spPr>
          <a:xfrm rot="10800000">
            <a:off x="3056164" y="241663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/>
        </xdr:nvSpPr>
        <xdr:spPr>
          <a:xfrm rot="5400000">
            <a:off x="2223407" y="3284766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" name="직사각형 2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>
          <a:xfrm rot="10800000">
            <a:off x="3069771" y="4185560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69272</xdr:colOff>
      <xdr:row>3</xdr:row>
      <xdr:rowOff>69273</xdr:rowOff>
    </xdr:from>
    <xdr:to>
      <xdr:col>0</xdr:col>
      <xdr:colOff>928500</xdr:colOff>
      <xdr:row>3</xdr:row>
      <xdr:rowOff>1981341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69272" y="7670223"/>
          <a:ext cx="859228" cy="1912068"/>
          <a:chOff x="3056164" y="653142"/>
          <a:chExt cx="1654628" cy="3682097"/>
        </a:xfrm>
      </xdr:grpSpPr>
      <xdr:sp macro="" textlink="">
        <xdr:nvSpPr>
          <xdr:cNvPr id="28" name="직사각형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3061607" y="65314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9" name="직사각형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>
          <a:xfrm rot="5400000">
            <a:off x="3880757" y="152672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1" name="직사각형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 rot="10800000">
            <a:off x="3056164" y="241663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2" name="직사각형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4" name="직사각형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 rot="10800000">
            <a:off x="3069771" y="4185560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51955</xdr:colOff>
      <xdr:row>4</xdr:row>
      <xdr:rowOff>69273</xdr:rowOff>
    </xdr:from>
    <xdr:to>
      <xdr:col>0</xdr:col>
      <xdr:colOff>1004455</xdr:colOff>
      <xdr:row>4</xdr:row>
      <xdr:rowOff>1763705</xdr:rowOff>
    </xdr:to>
    <xdr:grpSp>
      <xdr:nvGrpSpPr>
        <xdr:cNvPr id="35" name="그룹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51955" y="10203873"/>
          <a:ext cx="952500" cy="1694432"/>
          <a:chOff x="2876549" y="849088"/>
          <a:chExt cx="1834243" cy="3262992"/>
        </a:xfrm>
      </xdr:grpSpPr>
      <xdr:sp macro="" textlink="">
        <xdr:nvSpPr>
          <xdr:cNvPr id="37" name="직사각형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/>
        </xdr:nvSpPr>
        <xdr:spPr>
          <a:xfrm rot="5400000">
            <a:off x="3880757" y="152672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8" name="직사각형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 rot="5400000">
            <a:off x="2209800" y="1515837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9" name="직사각형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SpPr/>
        </xdr:nvSpPr>
        <xdr:spPr>
          <a:xfrm rot="10800000">
            <a:off x="3056164" y="241663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0" name="직사각형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51954</xdr:colOff>
      <xdr:row>5</xdr:row>
      <xdr:rowOff>86591</xdr:rowOff>
    </xdr:from>
    <xdr:to>
      <xdr:col>0</xdr:col>
      <xdr:colOff>1004454</xdr:colOff>
      <xdr:row>5</xdr:row>
      <xdr:rowOff>1998659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GrpSpPr/>
      </xdr:nvGrpSpPr>
      <xdr:grpSpPr>
        <a:xfrm>
          <a:off x="51954" y="12754841"/>
          <a:ext cx="952500" cy="1912068"/>
          <a:chOff x="2876549" y="653142"/>
          <a:chExt cx="1834243" cy="3682097"/>
        </a:xfrm>
      </xdr:grpSpPr>
      <xdr:sp macro="" textlink="">
        <xdr:nvSpPr>
          <xdr:cNvPr id="44" name="직사각형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SpPr/>
        </xdr:nvSpPr>
        <xdr:spPr>
          <a:xfrm>
            <a:off x="3061607" y="65314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6" name="직사각형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 rot="5400000">
            <a:off x="2209800" y="1515837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7" name="직사각형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SpPr/>
        </xdr:nvSpPr>
        <xdr:spPr>
          <a:xfrm rot="10800000">
            <a:off x="3056164" y="241663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8" name="직사각형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0" name="직사각형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SpPr/>
        </xdr:nvSpPr>
        <xdr:spPr>
          <a:xfrm rot="10800000">
            <a:off x="3069771" y="4185560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51955</xdr:colOff>
      <xdr:row>6</xdr:row>
      <xdr:rowOff>86590</xdr:rowOff>
    </xdr:from>
    <xdr:to>
      <xdr:col>0</xdr:col>
      <xdr:colOff>1004455</xdr:colOff>
      <xdr:row>6</xdr:row>
      <xdr:rowOff>1998658</xdr:rowOff>
    </xdr:to>
    <xdr:grpSp>
      <xdr:nvGrpSpPr>
        <xdr:cNvPr id="51" name="그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GrpSpPr/>
      </xdr:nvGrpSpPr>
      <xdr:grpSpPr>
        <a:xfrm>
          <a:off x="51955" y="15288490"/>
          <a:ext cx="952500" cy="1912068"/>
          <a:chOff x="2876549" y="653142"/>
          <a:chExt cx="1834243" cy="3682097"/>
        </a:xfrm>
      </xdr:grpSpPr>
      <xdr:sp macro="" textlink="">
        <xdr:nvSpPr>
          <xdr:cNvPr id="52" name="직사각형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SpPr/>
        </xdr:nvSpPr>
        <xdr:spPr>
          <a:xfrm>
            <a:off x="3061607" y="65314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4" name="직사각형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SpPr/>
        </xdr:nvSpPr>
        <xdr:spPr>
          <a:xfrm rot="5400000">
            <a:off x="2209800" y="1515837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5" name="직사각형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SpPr/>
        </xdr:nvSpPr>
        <xdr:spPr>
          <a:xfrm rot="10800000">
            <a:off x="3056164" y="241663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6" name="직사각형 55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7" name="직사각형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SpPr/>
        </xdr:nvSpPr>
        <xdr:spPr>
          <a:xfrm rot="5400000">
            <a:off x="2223407" y="3284766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8" name="직사각형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SpPr/>
        </xdr:nvSpPr>
        <xdr:spPr>
          <a:xfrm rot="10800000">
            <a:off x="3069771" y="4185560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51954</xdr:colOff>
      <xdr:row>7</xdr:row>
      <xdr:rowOff>103909</xdr:rowOff>
    </xdr:from>
    <xdr:to>
      <xdr:col>0</xdr:col>
      <xdr:colOff>1004454</xdr:colOff>
      <xdr:row>7</xdr:row>
      <xdr:rowOff>1900093</xdr:rowOff>
    </xdr:to>
    <xdr:grpSp>
      <xdr:nvGrpSpPr>
        <xdr:cNvPr id="59" name="그룹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GrpSpPr/>
      </xdr:nvGrpSpPr>
      <xdr:grpSpPr>
        <a:xfrm>
          <a:off x="51954" y="17839459"/>
          <a:ext cx="952500" cy="1796184"/>
          <a:chOff x="2876549" y="653142"/>
          <a:chExt cx="1834243" cy="3458938"/>
        </a:xfrm>
      </xdr:grpSpPr>
      <xdr:sp macro="" textlink="">
        <xdr:nvSpPr>
          <xdr:cNvPr id="60" name="직사각형 5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SpPr/>
        </xdr:nvSpPr>
        <xdr:spPr>
          <a:xfrm>
            <a:off x="3061607" y="65314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1" name="직사각형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SpPr/>
        </xdr:nvSpPr>
        <xdr:spPr>
          <a:xfrm rot="5400000">
            <a:off x="3880757" y="152672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2" name="직사각형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SpPr/>
        </xdr:nvSpPr>
        <xdr:spPr>
          <a:xfrm rot="5400000">
            <a:off x="2209800" y="1515837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4" name="직사각형 6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69273</xdr:colOff>
      <xdr:row>8</xdr:row>
      <xdr:rowOff>86591</xdr:rowOff>
    </xdr:from>
    <xdr:to>
      <xdr:col>0</xdr:col>
      <xdr:colOff>1021773</xdr:colOff>
      <xdr:row>8</xdr:row>
      <xdr:rowOff>1998659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GrpSpPr/>
      </xdr:nvGrpSpPr>
      <xdr:grpSpPr>
        <a:xfrm>
          <a:off x="69273" y="20355791"/>
          <a:ext cx="952500" cy="1912068"/>
          <a:chOff x="2876549" y="653142"/>
          <a:chExt cx="1834243" cy="3682097"/>
        </a:xfrm>
      </xdr:grpSpPr>
      <xdr:sp macro="" textlink="">
        <xdr:nvSpPr>
          <xdr:cNvPr id="68" name="직사각형 67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/>
        </xdr:nvSpPr>
        <xdr:spPr>
          <a:xfrm>
            <a:off x="3061607" y="65314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9" name="직사각형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SpPr/>
        </xdr:nvSpPr>
        <xdr:spPr>
          <a:xfrm rot="5400000">
            <a:off x="3880757" y="152672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0" name="직사각형 69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SpPr/>
        </xdr:nvSpPr>
        <xdr:spPr>
          <a:xfrm rot="5400000">
            <a:off x="2209800" y="1515837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1" name="직사각형 70"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/>
        </xdr:nvSpPr>
        <xdr:spPr>
          <a:xfrm rot="10800000">
            <a:off x="3056164" y="241663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2" name="직사각형 71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3" name="직사각형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SpPr/>
        </xdr:nvSpPr>
        <xdr:spPr>
          <a:xfrm rot="5400000">
            <a:off x="2223407" y="3284766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4" name="직사각형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/>
        </xdr:nvSpPr>
        <xdr:spPr>
          <a:xfrm rot="10800000">
            <a:off x="3069771" y="4185560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86590</xdr:colOff>
      <xdr:row>9</xdr:row>
      <xdr:rowOff>103909</xdr:rowOff>
    </xdr:from>
    <xdr:to>
      <xdr:col>0</xdr:col>
      <xdr:colOff>1039090</xdr:colOff>
      <xdr:row>9</xdr:row>
      <xdr:rowOff>2015977</xdr:rowOff>
    </xdr:to>
    <xdr:grpSp>
      <xdr:nvGrpSpPr>
        <xdr:cNvPr id="75" name="그룹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GrpSpPr/>
      </xdr:nvGrpSpPr>
      <xdr:grpSpPr>
        <a:xfrm>
          <a:off x="86590" y="22906759"/>
          <a:ext cx="952500" cy="1912068"/>
          <a:chOff x="2876549" y="653142"/>
          <a:chExt cx="1834243" cy="3682097"/>
        </a:xfrm>
      </xdr:grpSpPr>
      <xdr:sp macro="" textlink="">
        <xdr:nvSpPr>
          <xdr:cNvPr id="76" name="직사각형 75">
            <a:extLst>
              <a:ext uri="{FF2B5EF4-FFF2-40B4-BE49-F238E27FC236}">
                <a16:creationId xmlns:a16="http://schemas.microsoft.com/office/drawing/2014/main" id="{00000000-0008-0000-0700-00004C000000}"/>
              </a:ext>
            </a:extLst>
          </xdr:cNvPr>
          <xdr:cNvSpPr/>
        </xdr:nvSpPr>
        <xdr:spPr>
          <a:xfrm>
            <a:off x="3061607" y="65314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7" name="직사각형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SpPr/>
        </xdr:nvSpPr>
        <xdr:spPr>
          <a:xfrm rot="5400000">
            <a:off x="3880757" y="1526722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8" name="직사각형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SpPr/>
        </xdr:nvSpPr>
        <xdr:spPr>
          <a:xfrm rot="5400000">
            <a:off x="2209800" y="1515837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9" name="직사각형 78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SpPr/>
        </xdr:nvSpPr>
        <xdr:spPr>
          <a:xfrm rot="10800000">
            <a:off x="3056164" y="241663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0" name="직사각형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SpPr/>
        </xdr:nvSpPr>
        <xdr:spPr>
          <a:xfrm rot="5400000">
            <a:off x="3894364" y="3295651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2" name="직사각형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SpPr/>
        </xdr:nvSpPr>
        <xdr:spPr>
          <a:xfrm rot="10800000">
            <a:off x="3069771" y="4185560"/>
            <a:ext cx="1483178" cy="149679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mments" Target="../comments1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7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9.emf"/><Relationship Id="rId5" Type="http://schemas.openxmlformats.org/officeDocument/2006/relationships/control" Target="../activeX/activeX13.xml"/><Relationship Id="rId4" Type="http://schemas.openxmlformats.org/officeDocument/2006/relationships/image" Target="../media/image2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3.emf"/><Relationship Id="rId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0"/>
  <sheetViews>
    <sheetView showGridLines="0" tabSelected="1" zoomScaleNormal="100" workbookViewId="0">
      <selection activeCell="R12" sqref="R12"/>
    </sheetView>
  </sheetViews>
  <sheetFormatPr defaultRowHeight="16.5" x14ac:dyDescent="0.3"/>
  <cols>
    <col min="1" max="1" width="10.75" style="6" customWidth="1"/>
    <col min="2" max="16384" width="9" style="6"/>
  </cols>
  <sheetData>
    <row r="1" spans="1:12" x14ac:dyDescent="0.3">
      <c r="A1" s="6" t="s">
        <v>175</v>
      </c>
    </row>
    <row r="2" spans="1:12" x14ac:dyDescent="0.3">
      <c r="L2" s="12" t="s">
        <v>164</v>
      </c>
    </row>
    <row r="3" spans="1:12" x14ac:dyDescent="0.3">
      <c r="L3" s="12"/>
    </row>
    <row r="9" spans="1:12" x14ac:dyDescent="0.3">
      <c r="C9" s="11" t="s">
        <v>171</v>
      </c>
      <c r="D9" s="11"/>
      <c r="E9" s="11"/>
      <c r="F9" s="11"/>
      <c r="G9" s="11"/>
      <c r="H9" s="11"/>
      <c r="I9" s="11"/>
    </row>
    <row r="10" spans="1:12" x14ac:dyDescent="0.3">
      <c r="A10" s="4">
        <v>44582</v>
      </c>
      <c r="C10" s="11"/>
      <c r="D10" s="11"/>
      <c r="E10" s="11"/>
      <c r="F10" s="11"/>
      <c r="G10" s="11"/>
      <c r="H10" s="11"/>
      <c r="I10" s="11"/>
    </row>
    <row r="11" spans="1:12" x14ac:dyDescent="0.3">
      <c r="C11" s="11"/>
      <c r="D11" s="11"/>
      <c r="E11" s="11"/>
      <c r="F11" s="11"/>
      <c r="G11" s="11"/>
      <c r="H11" s="11"/>
      <c r="I11" s="11"/>
    </row>
    <row r="12" spans="1:12" x14ac:dyDescent="0.3">
      <c r="C12" s="11"/>
      <c r="D12" s="11"/>
      <c r="E12" s="11"/>
      <c r="F12" s="11"/>
      <c r="G12" s="11"/>
      <c r="H12" s="11"/>
      <c r="I12" s="11"/>
    </row>
    <row r="13" spans="1:12" x14ac:dyDescent="0.3">
      <c r="C13" s="11"/>
      <c r="D13" s="11"/>
      <c r="E13" s="11"/>
      <c r="F13" s="11"/>
      <c r="G13" s="11"/>
      <c r="H13" s="11"/>
      <c r="I13" s="11"/>
    </row>
    <row r="14" spans="1:12" x14ac:dyDescent="0.3">
      <c r="C14" s="11"/>
      <c r="D14" s="11"/>
      <c r="E14" s="11"/>
      <c r="F14" s="11"/>
      <c r="G14" s="11"/>
      <c r="H14" s="11"/>
      <c r="I14" s="11"/>
    </row>
    <row r="15" spans="1:12" x14ac:dyDescent="0.3">
      <c r="C15" s="11"/>
      <c r="D15" s="11"/>
      <c r="E15" s="11"/>
      <c r="F15" s="11"/>
      <c r="G15" s="11"/>
      <c r="H15" s="11"/>
      <c r="I15" s="11"/>
    </row>
    <row r="16" spans="1:12" x14ac:dyDescent="0.3">
      <c r="C16" s="11"/>
      <c r="D16" s="11"/>
      <c r="E16" s="11"/>
      <c r="F16" s="11"/>
      <c r="G16" s="11"/>
      <c r="H16" s="11"/>
      <c r="I16" s="11"/>
    </row>
    <row r="17" spans="3:9" x14ac:dyDescent="0.3">
      <c r="C17" s="11"/>
      <c r="D17" s="11"/>
      <c r="E17" s="11"/>
      <c r="F17" s="11"/>
      <c r="G17" s="11"/>
      <c r="H17" s="11"/>
      <c r="I17" s="11"/>
    </row>
    <row r="18" spans="3:9" x14ac:dyDescent="0.3">
      <c r="C18" s="11"/>
      <c r="D18" s="11"/>
      <c r="E18" s="11"/>
      <c r="F18" s="11"/>
      <c r="G18" s="11"/>
      <c r="H18" s="11"/>
      <c r="I18" s="11"/>
    </row>
    <row r="19" spans="3:9" x14ac:dyDescent="0.3">
      <c r="C19" s="11"/>
      <c r="D19" s="11"/>
      <c r="E19" s="11"/>
      <c r="F19" s="11"/>
      <c r="G19" s="11"/>
      <c r="H19" s="11"/>
      <c r="I19" s="11"/>
    </row>
    <row r="20" spans="3:9" x14ac:dyDescent="0.3">
      <c r="C20" s="11"/>
      <c r="D20" s="11"/>
      <c r="E20" s="11"/>
      <c r="F20" s="11"/>
      <c r="G20" s="11"/>
      <c r="H20" s="11"/>
      <c r="I20" s="11"/>
    </row>
  </sheetData>
  <mergeCells count="2">
    <mergeCell ref="C9:I20"/>
    <mergeCell ref="L2:L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3" r:id="rId3" name="CommandButton8">
          <controlPr defaultSize="0" autoLine="0" r:id="rId4">
            <anchor moveWithCells="1">
              <from>
                <xdr:col>7</xdr:col>
                <xdr:colOff>0</xdr:colOff>
                <xdr:row>24</xdr:row>
                <xdr:rowOff>0</xdr:rowOff>
              </from>
              <to>
                <xdr:col>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033" r:id="rId3" name="CommandButton8"/>
      </mc:Fallback>
    </mc:AlternateContent>
    <mc:AlternateContent xmlns:mc="http://schemas.openxmlformats.org/markup-compatibility/2006">
      <mc:Choice Requires="x14">
        <control shapeId="1032" r:id="rId5" name="CommandButton7">
          <controlPr defaultSize="0" disabled="1" autoLine="0" r:id="rId6">
            <anchor moveWithCells="1">
              <from>
                <xdr:col>4</xdr:col>
                <xdr:colOff>390525</xdr:colOff>
                <xdr:row>24</xdr:row>
                <xdr:rowOff>0</xdr:rowOff>
              </from>
              <to>
                <xdr:col>6</xdr:col>
                <xdr:colOff>390525</xdr:colOff>
                <xdr:row>26</xdr:row>
                <xdr:rowOff>0</xdr:rowOff>
              </to>
            </anchor>
          </controlPr>
        </control>
      </mc:Choice>
      <mc:Fallback>
        <control shapeId="1032" r:id="rId5" name="CommandButton7"/>
      </mc:Fallback>
    </mc:AlternateContent>
    <mc:AlternateContent xmlns:mc="http://schemas.openxmlformats.org/markup-compatibility/2006">
      <mc:Choice Requires="x14">
        <control shapeId="1031" r:id="rId7" name="CommandButton6">
          <controlPr defaultSize="0" disabled="1" autoLine="0" r:id="rId8">
            <anchor moveWithCells="1">
              <from>
                <xdr:col>2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031" r:id="rId7" name="CommandButton6"/>
      </mc:Fallback>
    </mc:AlternateContent>
    <mc:AlternateContent xmlns:mc="http://schemas.openxmlformats.org/markup-compatibility/2006">
      <mc:Choice Requires="x14">
        <control shapeId="1030" r:id="rId9" name="CommandButton5">
          <controlPr defaultSize="0" disabled="1" autoLine="0" r:id="rId10">
            <anchor moveWithCells="1">
              <from>
                <xdr:col>8</xdr:col>
                <xdr:colOff>0</xdr:colOff>
                <xdr:row>21</xdr:row>
                <xdr:rowOff>0</xdr:rowOff>
              </from>
              <to>
                <xdr:col>10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030" r:id="rId9" name="CommandButton5"/>
      </mc:Fallback>
    </mc:AlternateContent>
    <mc:AlternateContent xmlns:mc="http://schemas.openxmlformats.org/markup-compatibility/2006">
      <mc:Choice Requires="x14">
        <control shapeId="1029" r:id="rId11" name="CommandButton4">
          <controlPr defaultSize="0" disabled="1" autoLine="0" r:id="rId12">
            <anchor moveWithCells="1">
              <from>
                <xdr:col>5</xdr:col>
                <xdr:colOff>409575</xdr:colOff>
                <xdr:row>21</xdr:row>
                <xdr:rowOff>0</xdr:rowOff>
              </from>
              <to>
                <xdr:col>7</xdr:col>
                <xdr:colOff>409575</xdr:colOff>
                <xdr:row>23</xdr:row>
                <xdr:rowOff>0</xdr:rowOff>
              </to>
            </anchor>
          </controlPr>
        </control>
      </mc:Choice>
      <mc:Fallback>
        <control shapeId="1029" r:id="rId11" name="CommandButton4"/>
      </mc:Fallback>
    </mc:AlternateContent>
    <mc:AlternateContent xmlns:mc="http://schemas.openxmlformats.org/markup-compatibility/2006">
      <mc:Choice Requires="x14">
        <control shapeId="1028" r:id="rId13" name="CommandButton3">
          <controlPr defaultSize="0" disabled="1" autoLine="0" r:id="rId14">
            <anchor moveWithCells="1">
              <from>
                <xdr:col>3</xdr:col>
                <xdr:colOff>171450</xdr:colOff>
                <xdr:row>21</xdr:row>
                <xdr:rowOff>0</xdr:rowOff>
              </from>
              <to>
                <xdr:col>5</xdr:col>
                <xdr:colOff>171450</xdr:colOff>
                <xdr:row>23</xdr:row>
                <xdr:rowOff>0</xdr:rowOff>
              </to>
            </anchor>
          </controlPr>
        </control>
      </mc:Choice>
      <mc:Fallback>
        <control shapeId="1028" r:id="rId13" name="CommandButton3"/>
      </mc:Fallback>
    </mc:AlternateContent>
    <mc:AlternateContent xmlns:mc="http://schemas.openxmlformats.org/markup-compatibility/2006">
      <mc:Choice Requires="x14">
        <control shapeId="1027" r:id="rId15" name="CommandButton2">
          <controlPr defaultSize="0" autoLine="0" r:id="rId16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027" r:id="rId15" name="CommandButton2"/>
      </mc:Fallback>
    </mc:AlternateContent>
    <mc:AlternateContent xmlns:mc="http://schemas.openxmlformats.org/markup-compatibility/2006">
      <mc:Choice Requires="x14">
        <control shapeId="1026" r:id="rId17" name="CommandButton1">
          <controlPr defaultSize="0" autoLine="0" r:id="rId18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6" r:id="rId1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41"/>
  <sheetViews>
    <sheetView showGridLines="0" workbookViewId="0">
      <selection activeCell="K2" sqref="K2"/>
    </sheetView>
  </sheetViews>
  <sheetFormatPr defaultColWidth="8.75" defaultRowHeight="16.5" x14ac:dyDescent="0.3"/>
  <cols>
    <col min="1" max="3" width="8.75" style="3"/>
    <col min="4" max="4" width="11.125" style="3" bestFit="1" customWidth="1"/>
    <col min="5" max="5" width="8.625" style="3" customWidth="1"/>
    <col min="6" max="9" width="8.75" style="3"/>
    <col min="10" max="10" width="11.125" style="3" bestFit="1" customWidth="1"/>
    <col min="11" max="12" width="8.75" style="3"/>
    <col min="13" max="13" width="11.125" style="3" bestFit="1" customWidth="1"/>
    <col min="14" max="14" width="8.75" style="3"/>
    <col min="15" max="15" width="11.125" style="3" bestFit="1" customWidth="1"/>
    <col min="16" max="16384" width="8.75" style="3"/>
  </cols>
  <sheetData>
    <row r="1" spans="1:15" x14ac:dyDescent="0.3">
      <c r="A1" s="2" t="s">
        <v>0</v>
      </c>
      <c r="B1" s="2" t="s">
        <v>85</v>
      </c>
      <c r="C1" s="2" t="s">
        <v>86</v>
      </c>
      <c r="D1" s="2" t="s">
        <v>87</v>
      </c>
      <c r="E1" s="2" t="s">
        <v>33</v>
      </c>
      <c r="F1" s="2" t="s">
        <v>34</v>
      </c>
      <c r="G1" s="3" t="s">
        <v>141</v>
      </c>
      <c r="H1" s="3">
        <f>COUNTIF(B:B,"동팀")</f>
        <v>41</v>
      </c>
      <c r="J1" s="4">
        <f t="array" aca="1" ref="J1" ca="1">MIN(IF(팀2="동팀",생년월일))</f>
        <v>35877</v>
      </c>
      <c r="K1" s="3">
        <f t="array" aca="1" ref="K1" ca="1">MIN(IF((생년월일=J1)*(팀2="동팀"),팀번호))</f>
        <v>5</v>
      </c>
      <c r="L1" s="3" t="str">
        <f t="array" aca="1" ref="L1" ca="1">INDEX($A$2:$F$10000,K1,3)</f>
        <v>오진수</v>
      </c>
      <c r="M1" s="4">
        <f t="array" aca="1" ref="M1" ca="1">INDEX($A$2:$F$10000,K1,4)</f>
        <v>35877</v>
      </c>
    </row>
    <row r="2" spans="1:15" x14ac:dyDescent="0.3">
      <c r="A2" s="3">
        <v>1</v>
      </c>
      <c r="B2" s="3" t="s">
        <v>88</v>
      </c>
      <c r="C2" s="3" t="s">
        <v>2</v>
      </c>
      <c r="D2" s="4">
        <v>35892</v>
      </c>
      <c r="E2" s="3">
        <f>IFERROR(fn나이(D2),"")</f>
        <v>23</v>
      </c>
      <c r="F2" s="3" t="s">
        <v>169</v>
      </c>
      <c r="G2" s="3" t="str">
        <f t="array" ref="G2">IFERROR(spl(C2),"")</f>
        <v>김영빈</v>
      </c>
      <c r="H2" s="3">
        <f>COUNTIF(B:B,"서팀")</f>
        <v>49</v>
      </c>
      <c r="J2" s="4">
        <f t="array" aca="1" ref="J2" ca="1">MIN(IF(팀2="서팀",생년월일))</f>
        <v>35804</v>
      </c>
      <c r="K2" s="3">
        <f t="array" aca="1" ref="K2" ca="1">MIN(IF((생년월일=J2)*(팀2="서팀"),팀번호))</f>
        <v>28</v>
      </c>
      <c r="L2" s="3" t="str">
        <f t="array" aca="1" ref="L2" ca="1">INDEX($A$2:$F$10000,K2+H1,3)</f>
        <v>임수홍</v>
      </c>
      <c r="M2" s="4">
        <f t="array" aca="1" ref="M2" ca="1">INDEX($A$2:$F$10000,K2+H1,4)</f>
        <v>35804</v>
      </c>
      <c r="O2" s="4"/>
    </row>
    <row r="3" spans="1:15" x14ac:dyDescent="0.3">
      <c r="A3" s="3">
        <v>2</v>
      </c>
      <c r="B3" s="3" t="s">
        <v>88</v>
      </c>
      <c r="C3" s="3" t="s">
        <v>3</v>
      </c>
      <c r="D3" s="4">
        <v>35886</v>
      </c>
      <c r="E3" s="3">
        <f>IFERROR(fn나이(D3),"")</f>
        <v>23</v>
      </c>
      <c r="F3" s="3" t="s">
        <v>172</v>
      </c>
      <c r="G3" s="3" t="str">
        <f t="array" ref="G3">IFERROR(spl(C3),"")</f>
        <v>김효성</v>
      </c>
      <c r="J3" s="4"/>
      <c r="O3" s="4"/>
    </row>
    <row r="4" spans="1:15" x14ac:dyDescent="0.3">
      <c r="A4" s="3">
        <v>3</v>
      </c>
      <c r="B4" s="3" t="s">
        <v>88</v>
      </c>
      <c r="C4" s="3" t="s">
        <v>4</v>
      </c>
      <c r="D4" s="4">
        <v>36340</v>
      </c>
      <c r="E4" s="3">
        <f>IFERROR(fn나이(D4),"")</f>
        <v>22</v>
      </c>
      <c r="F4" s="3" t="s">
        <v>172</v>
      </c>
      <c r="G4" s="3" t="str">
        <f t="array" ref="G4">IFERROR(spl(C4),"")</f>
        <v>노형민</v>
      </c>
      <c r="J4" s="4"/>
      <c r="O4" s="4"/>
    </row>
    <row r="5" spans="1:15" x14ac:dyDescent="0.3">
      <c r="A5" s="3">
        <v>4</v>
      </c>
      <c r="B5" s="3" t="s">
        <v>88</v>
      </c>
      <c r="C5" s="3" t="s">
        <v>5</v>
      </c>
      <c r="D5" s="4">
        <v>36069</v>
      </c>
      <c r="E5" s="3">
        <f>IFERROR(fn나이(D5),"")</f>
        <v>23</v>
      </c>
      <c r="F5" s="3" t="s">
        <v>168</v>
      </c>
      <c r="G5" s="3" t="str">
        <f t="array" ref="G5">IFERROR(spl(C5),"")</f>
        <v>서승우</v>
      </c>
      <c r="J5" s="4"/>
      <c r="O5" s="4"/>
    </row>
    <row r="6" spans="1:15" x14ac:dyDescent="0.3">
      <c r="A6" s="3">
        <v>5</v>
      </c>
      <c r="B6" s="3" t="s">
        <v>88</v>
      </c>
      <c r="C6" s="3" t="s">
        <v>6</v>
      </c>
      <c r="D6" s="4">
        <v>35877</v>
      </c>
      <c r="E6" s="3">
        <f>IFERROR(fn나이(D6),"")</f>
        <v>23</v>
      </c>
      <c r="F6" s="3" t="s">
        <v>172</v>
      </c>
      <c r="G6" s="3" t="str">
        <f t="array" ref="G6">IFERROR(spl(C6),"")</f>
        <v>오진수</v>
      </c>
      <c r="J6" s="4"/>
      <c r="O6" s="4"/>
    </row>
    <row r="7" spans="1:15" x14ac:dyDescent="0.3">
      <c r="A7" s="3">
        <v>6</v>
      </c>
      <c r="B7" s="3" t="s">
        <v>88</v>
      </c>
      <c r="C7" s="3" t="s">
        <v>7</v>
      </c>
      <c r="D7" s="4">
        <v>35890</v>
      </c>
      <c r="E7" s="3">
        <f>IFERROR(fn나이(D7),"")</f>
        <v>23</v>
      </c>
      <c r="F7" s="3" t="s">
        <v>172</v>
      </c>
      <c r="G7" s="3" t="str">
        <f t="array" ref="G7">IFERROR(spl(C7),"")</f>
        <v>유법상</v>
      </c>
      <c r="J7" s="4"/>
      <c r="O7" s="4"/>
    </row>
    <row r="8" spans="1:15" x14ac:dyDescent="0.3">
      <c r="A8" s="3">
        <v>7</v>
      </c>
      <c r="B8" s="3" t="s">
        <v>88</v>
      </c>
      <c r="C8" s="3" t="s">
        <v>15</v>
      </c>
      <c r="D8" s="4">
        <v>35964</v>
      </c>
      <c r="E8" s="3">
        <f>IFERROR(fn나이(D8),"")</f>
        <v>23</v>
      </c>
      <c r="F8" s="3" t="s">
        <v>168</v>
      </c>
      <c r="G8" s="3" t="str">
        <f t="array" ref="G8">IFERROR(spl(C8),"")</f>
        <v>김수민</v>
      </c>
      <c r="J8" s="4"/>
      <c r="O8" s="4"/>
    </row>
    <row r="9" spans="1:15" x14ac:dyDescent="0.3">
      <c r="A9" s="3">
        <v>8</v>
      </c>
      <c r="B9" s="3" t="s">
        <v>88</v>
      </c>
      <c r="C9" s="3" t="s">
        <v>8</v>
      </c>
      <c r="D9" s="4">
        <v>36369</v>
      </c>
      <c r="E9" s="3">
        <f>IFERROR(fn나이(D9),"")</f>
        <v>22</v>
      </c>
      <c r="F9" s="3" t="s">
        <v>173</v>
      </c>
      <c r="G9" s="3" t="str">
        <f t="array" ref="G9">IFERROR(spl(C9),"")</f>
        <v>이규미</v>
      </c>
      <c r="J9" s="4"/>
      <c r="O9" s="4"/>
    </row>
    <row r="10" spans="1:15" x14ac:dyDescent="0.3">
      <c r="A10" s="3">
        <v>9</v>
      </c>
      <c r="B10" s="3" t="s">
        <v>88</v>
      </c>
      <c r="C10" s="3" t="s">
        <v>9</v>
      </c>
      <c r="D10" s="4">
        <v>35880</v>
      </c>
      <c r="E10" s="3">
        <f>IFERROR(fn나이(D10),"")</f>
        <v>23</v>
      </c>
      <c r="F10" s="3" t="s">
        <v>173</v>
      </c>
      <c r="G10" s="3" t="str">
        <f t="array" ref="G10">IFERROR(spl(C10),"")</f>
        <v>이기연</v>
      </c>
      <c r="J10" s="4"/>
      <c r="O10" s="4"/>
    </row>
    <row r="11" spans="1:15" x14ac:dyDescent="0.3">
      <c r="A11" s="3">
        <v>10</v>
      </c>
      <c r="B11" s="3" t="s">
        <v>88</v>
      </c>
      <c r="C11" s="3" t="s">
        <v>15</v>
      </c>
      <c r="D11" s="4">
        <v>36340</v>
      </c>
      <c r="E11" s="3">
        <f>IFERROR(fn나이(D11),"")</f>
        <v>22</v>
      </c>
      <c r="F11" s="3" t="s">
        <v>172</v>
      </c>
      <c r="G11" s="3" t="str">
        <f t="array" ref="G11">IFERROR(spl(C11),"")</f>
        <v>김수민</v>
      </c>
      <c r="J11" s="4"/>
      <c r="O11" s="4"/>
    </row>
    <row r="12" spans="1:15" x14ac:dyDescent="0.3">
      <c r="A12" s="3">
        <v>11</v>
      </c>
      <c r="B12" s="3" t="s">
        <v>88</v>
      </c>
      <c r="C12" s="3" t="s">
        <v>136</v>
      </c>
      <c r="D12" s="4">
        <v>36151</v>
      </c>
      <c r="E12" s="3">
        <f>IFERROR(fn나이(D12),"")</f>
        <v>23</v>
      </c>
      <c r="F12" s="3" t="s">
        <v>168</v>
      </c>
      <c r="G12" s="3" t="str">
        <f t="array" ref="G12">IFERROR(spl(C12),"")</f>
        <v>이겸</v>
      </c>
      <c r="J12" s="4"/>
      <c r="O12" s="4"/>
    </row>
    <row r="13" spans="1:15" x14ac:dyDescent="0.3">
      <c r="A13" s="3">
        <v>12</v>
      </c>
      <c r="B13" s="3" t="s">
        <v>88</v>
      </c>
      <c r="C13" s="3" t="s">
        <v>10</v>
      </c>
      <c r="D13" s="4">
        <v>36641</v>
      </c>
      <c r="E13" s="3">
        <f>IFERROR(fn나이(D13),"")</f>
        <v>21</v>
      </c>
      <c r="F13" s="3" t="s">
        <v>172</v>
      </c>
      <c r="G13" s="3" t="str">
        <f t="array" ref="G13">IFERROR(spl(C13),"")</f>
        <v>전다훈</v>
      </c>
      <c r="J13" s="4"/>
      <c r="O13" s="4"/>
    </row>
    <row r="14" spans="1:15" x14ac:dyDescent="0.3">
      <c r="A14" s="3">
        <v>13</v>
      </c>
      <c r="B14" s="3" t="s">
        <v>88</v>
      </c>
      <c r="C14" s="3" t="s">
        <v>11</v>
      </c>
      <c r="D14" s="4">
        <v>36132</v>
      </c>
      <c r="E14" s="3">
        <f>IFERROR(fn나이(D14),"")</f>
        <v>23</v>
      </c>
      <c r="F14" s="3" t="s">
        <v>172</v>
      </c>
      <c r="G14" s="3" t="str">
        <f t="array" ref="G14">IFERROR(spl(C14),"")</f>
        <v>차우성</v>
      </c>
      <c r="J14" s="4"/>
      <c r="O14" s="4"/>
    </row>
    <row r="15" spans="1:15" x14ac:dyDescent="0.3">
      <c r="A15" s="3">
        <v>14</v>
      </c>
      <c r="B15" s="3" t="s">
        <v>88</v>
      </c>
      <c r="C15" s="3" t="s">
        <v>12</v>
      </c>
      <c r="D15" s="4">
        <v>36027</v>
      </c>
      <c r="E15" s="3">
        <f>IFERROR(fn나이(D15),"")</f>
        <v>23</v>
      </c>
      <c r="F15" s="3" t="s">
        <v>169</v>
      </c>
      <c r="G15" s="3" t="str">
        <f t="array" ref="G15">IFERROR(spl(C15),"")</f>
        <v>한성준</v>
      </c>
      <c r="J15" s="4"/>
      <c r="O15" s="4"/>
    </row>
    <row r="16" spans="1:15" x14ac:dyDescent="0.3">
      <c r="A16" s="3">
        <v>15</v>
      </c>
      <c r="B16" s="3" t="s">
        <v>88</v>
      </c>
      <c r="C16" s="3" t="s">
        <v>13</v>
      </c>
      <c r="D16" s="4">
        <v>36658</v>
      </c>
      <c r="E16" s="3">
        <f>IFERROR(fn나이(D16),"")</f>
        <v>21</v>
      </c>
      <c r="F16" s="3" t="s">
        <v>172</v>
      </c>
      <c r="G16" s="3" t="str">
        <f t="array" ref="G16">IFERROR(spl(C16),"")</f>
        <v>김도현</v>
      </c>
      <c r="J16" s="4"/>
      <c r="O16" s="4"/>
    </row>
    <row r="17" spans="1:15" x14ac:dyDescent="0.3">
      <c r="A17" s="3">
        <v>16</v>
      </c>
      <c r="B17" s="3" t="s">
        <v>88</v>
      </c>
      <c r="C17" s="3" t="s">
        <v>14</v>
      </c>
      <c r="D17" s="4">
        <v>36775</v>
      </c>
      <c r="E17" s="3">
        <f>IFERROR(fn나이(D17),"")</f>
        <v>21</v>
      </c>
      <c r="F17" s="3" t="s">
        <v>172</v>
      </c>
      <c r="G17" s="3" t="str">
        <f t="array" ref="G17">IFERROR(spl(C17),"")</f>
        <v>김민우</v>
      </c>
      <c r="J17" s="4"/>
      <c r="O17" s="4"/>
    </row>
    <row r="18" spans="1:15" x14ac:dyDescent="0.3">
      <c r="A18" s="3">
        <v>17</v>
      </c>
      <c r="B18" s="3" t="s">
        <v>88</v>
      </c>
      <c r="C18" s="3" t="s">
        <v>138</v>
      </c>
      <c r="D18" s="4">
        <v>36290</v>
      </c>
      <c r="E18" s="3">
        <f>IFERROR(fn나이(D18),"")</f>
        <v>22</v>
      </c>
      <c r="F18" s="3" t="s">
        <v>168</v>
      </c>
      <c r="G18" s="3" t="str">
        <f t="array" ref="G18">IFERROR(spl(C18),"")</f>
        <v>이상</v>
      </c>
      <c r="J18" s="4"/>
      <c r="O18" s="4"/>
    </row>
    <row r="19" spans="1:15" x14ac:dyDescent="0.3">
      <c r="A19" s="3">
        <v>18</v>
      </c>
      <c r="B19" s="3" t="s">
        <v>88</v>
      </c>
      <c r="C19" s="3" t="s">
        <v>140</v>
      </c>
      <c r="D19" s="4">
        <v>36694</v>
      </c>
      <c r="E19" s="3">
        <f>IFERROR(fn나이(D19),"")</f>
        <v>21</v>
      </c>
      <c r="F19" s="3" t="s">
        <v>172</v>
      </c>
      <c r="G19" s="3" t="str">
        <f t="array" ref="G19">IFERROR(spl(C19),"")</f>
        <v>이상원</v>
      </c>
      <c r="J19" s="4"/>
      <c r="O19" s="4"/>
    </row>
    <row r="20" spans="1:15" x14ac:dyDescent="0.3">
      <c r="A20" s="3">
        <v>19</v>
      </c>
      <c r="B20" s="3" t="s">
        <v>88</v>
      </c>
      <c r="C20" s="3" t="s">
        <v>15</v>
      </c>
      <c r="D20" s="4">
        <v>36423</v>
      </c>
      <c r="E20" s="3">
        <f>IFERROR(fn나이(D20),"")</f>
        <v>22</v>
      </c>
      <c r="F20" s="3" t="s">
        <v>168</v>
      </c>
      <c r="G20" s="3" t="str">
        <f t="array" ref="G20">IFERROR(spl(C20),"")</f>
        <v>김수민</v>
      </c>
      <c r="J20" s="4"/>
      <c r="O20" s="4"/>
    </row>
    <row r="21" spans="1:15" x14ac:dyDescent="0.3">
      <c r="A21" s="3">
        <v>20</v>
      </c>
      <c r="B21" s="3" t="s">
        <v>88</v>
      </c>
      <c r="C21" s="3" t="s">
        <v>137</v>
      </c>
      <c r="D21" s="4">
        <v>36115</v>
      </c>
      <c r="E21" s="3">
        <f>IFERROR(fn나이(D21),"")</f>
        <v>23</v>
      </c>
      <c r="F21" s="3" t="s">
        <v>172</v>
      </c>
      <c r="G21" s="3" t="str">
        <f t="array" ref="G21">IFERROR(spl(C21),"")</f>
        <v>김영빈</v>
      </c>
      <c r="J21" s="4"/>
      <c r="O21" s="4"/>
    </row>
    <row r="22" spans="1:15" x14ac:dyDescent="0.3">
      <c r="A22" s="3">
        <v>21</v>
      </c>
      <c r="B22" s="3" t="s">
        <v>88</v>
      </c>
      <c r="C22" s="3" t="s">
        <v>16</v>
      </c>
      <c r="D22" s="4">
        <v>36134</v>
      </c>
      <c r="E22" s="3">
        <f>IFERROR(fn나이(D22),"")</f>
        <v>23</v>
      </c>
      <c r="F22" s="3" t="s">
        <v>172</v>
      </c>
      <c r="G22" s="3" t="str">
        <f t="array" ref="G22">IFERROR(spl(C22),"")</f>
        <v>신현수</v>
      </c>
      <c r="J22" s="4"/>
      <c r="O22" s="4"/>
    </row>
    <row r="23" spans="1:15" x14ac:dyDescent="0.3">
      <c r="A23" s="3">
        <v>22</v>
      </c>
      <c r="B23" s="3" t="s">
        <v>88</v>
      </c>
      <c r="C23" s="3" t="s">
        <v>17</v>
      </c>
      <c r="D23" s="4">
        <v>35968</v>
      </c>
      <c r="E23" s="3">
        <f>IFERROR(fn나이(D23),"")</f>
        <v>23</v>
      </c>
      <c r="F23" s="3" t="s">
        <v>168</v>
      </c>
      <c r="G23" s="3" t="str">
        <f t="array" ref="G23">IFERROR(spl(C23),"")</f>
        <v>원영철</v>
      </c>
      <c r="J23" s="4"/>
      <c r="O23" s="4"/>
    </row>
    <row r="24" spans="1:15" x14ac:dyDescent="0.3">
      <c r="A24" s="3">
        <v>23</v>
      </c>
      <c r="B24" s="3" t="s">
        <v>88</v>
      </c>
      <c r="C24" s="3" t="s">
        <v>18</v>
      </c>
      <c r="D24" s="4">
        <v>36281</v>
      </c>
      <c r="E24" s="3">
        <f>IFERROR(fn나이(D24),"")</f>
        <v>22</v>
      </c>
      <c r="F24" s="3" t="s">
        <v>168</v>
      </c>
      <c r="G24" s="3" t="str">
        <f t="array" ref="G24">IFERROR(spl(C24),"")</f>
        <v>이정진</v>
      </c>
      <c r="J24" s="4"/>
      <c r="O24" s="4"/>
    </row>
    <row r="25" spans="1:15" x14ac:dyDescent="0.3">
      <c r="A25" s="3">
        <v>24</v>
      </c>
      <c r="B25" s="3" t="s">
        <v>88</v>
      </c>
      <c r="C25" s="3" t="s">
        <v>19</v>
      </c>
      <c r="D25" s="4">
        <v>36678</v>
      </c>
      <c r="E25" s="3">
        <f>IFERROR(fn나이(D25),"")</f>
        <v>21</v>
      </c>
      <c r="F25" s="3" t="s">
        <v>173</v>
      </c>
      <c r="G25" s="3" t="str">
        <f t="array" ref="G25">IFERROR(spl(C25),"")</f>
        <v>이훈</v>
      </c>
      <c r="J25" s="4"/>
      <c r="O25" s="4"/>
    </row>
    <row r="26" spans="1:15" x14ac:dyDescent="0.3">
      <c r="A26" s="3">
        <v>25</v>
      </c>
      <c r="B26" s="3" t="s">
        <v>88</v>
      </c>
      <c r="C26" s="3" t="s">
        <v>139</v>
      </c>
      <c r="D26" s="4">
        <v>36290</v>
      </c>
      <c r="E26" s="3">
        <f>IFERROR(fn나이(D26),"")</f>
        <v>22</v>
      </c>
      <c r="F26" s="3" t="s">
        <v>169</v>
      </c>
      <c r="G26" s="3" t="str">
        <f t="array" ref="G26">IFERROR(spl(C26),"")</f>
        <v>이상</v>
      </c>
      <c r="J26" s="4"/>
      <c r="O26" s="4"/>
    </row>
    <row r="27" spans="1:15" x14ac:dyDescent="0.3">
      <c r="A27" s="3">
        <v>26</v>
      </c>
      <c r="B27" s="3" t="s">
        <v>88</v>
      </c>
      <c r="C27" s="3" t="s">
        <v>20</v>
      </c>
      <c r="D27" s="4">
        <v>36237</v>
      </c>
      <c r="E27" s="3">
        <f>IFERROR(fn나이(D27),"")</f>
        <v>22</v>
      </c>
      <c r="F27" s="3" t="s">
        <v>172</v>
      </c>
      <c r="G27" s="3" t="str">
        <f t="array" ref="G27">IFERROR(spl(C27),"")</f>
        <v>하태광</v>
      </c>
      <c r="J27" s="4"/>
      <c r="O27" s="4"/>
    </row>
    <row r="28" spans="1:15" x14ac:dyDescent="0.3">
      <c r="A28" s="3">
        <v>27</v>
      </c>
      <c r="B28" s="3" t="s">
        <v>88</v>
      </c>
      <c r="C28" s="3" t="s">
        <v>21</v>
      </c>
      <c r="D28" s="4">
        <v>36431</v>
      </c>
      <c r="E28" s="3">
        <f>IFERROR(fn나이(D28),"")</f>
        <v>22</v>
      </c>
      <c r="F28" s="3" t="s">
        <v>173</v>
      </c>
      <c r="G28" s="3" t="str">
        <f t="array" ref="G28">IFERROR(spl(C28),"")</f>
        <v>강민성</v>
      </c>
      <c r="J28" s="4"/>
      <c r="O28" s="4"/>
    </row>
    <row r="29" spans="1:15" x14ac:dyDescent="0.3">
      <c r="A29" s="3">
        <v>28</v>
      </c>
      <c r="B29" s="3" t="s">
        <v>88</v>
      </c>
      <c r="C29" s="3" t="s">
        <v>3</v>
      </c>
      <c r="D29" s="4">
        <v>36339</v>
      </c>
      <c r="E29" s="3">
        <f>IFERROR(fn나이(D29),"")</f>
        <v>22</v>
      </c>
      <c r="F29" s="3" t="s">
        <v>168</v>
      </c>
      <c r="G29" s="3" t="str">
        <f t="array" ref="G29">IFERROR(spl(C29),"")</f>
        <v>김효성</v>
      </c>
      <c r="J29" s="4"/>
      <c r="O29" s="4"/>
    </row>
    <row r="30" spans="1:15" x14ac:dyDescent="0.3">
      <c r="A30" s="3">
        <v>29</v>
      </c>
      <c r="B30" s="3" t="s">
        <v>88</v>
      </c>
      <c r="C30" s="3" t="s">
        <v>22</v>
      </c>
      <c r="D30" s="4">
        <v>36626</v>
      </c>
      <c r="E30" s="3">
        <f>IFERROR(fn나이(D30),"")</f>
        <v>21</v>
      </c>
      <c r="F30" s="3" t="s">
        <v>168</v>
      </c>
      <c r="G30" s="3" t="str">
        <f t="array" ref="G30">IFERROR(spl(C30),"")</f>
        <v>강승훈</v>
      </c>
      <c r="J30" s="4"/>
      <c r="O30" s="4"/>
    </row>
    <row r="31" spans="1:15" x14ac:dyDescent="0.3">
      <c r="A31" s="3">
        <v>30</v>
      </c>
      <c r="B31" s="3" t="s">
        <v>88</v>
      </c>
      <c r="C31" s="3" t="s">
        <v>23</v>
      </c>
      <c r="D31" s="4">
        <v>35900</v>
      </c>
      <c r="E31" s="3">
        <f>IFERROR(fn나이(D31),"")</f>
        <v>23</v>
      </c>
      <c r="F31" s="3" t="s">
        <v>169</v>
      </c>
      <c r="G31" s="3" t="str">
        <f t="array" ref="G31">IFERROR(spl(C31),"")</f>
        <v>권용욱</v>
      </c>
      <c r="J31" s="4"/>
      <c r="O31" s="4"/>
    </row>
    <row r="32" spans="1:15" x14ac:dyDescent="0.3">
      <c r="A32" s="3">
        <v>31</v>
      </c>
      <c r="B32" s="3" t="s">
        <v>88</v>
      </c>
      <c r="C32" s="3" t="s">
        <v>24</v>
      </c>
      <c r="D32" s="4">
        <v>36476</v>
      </c>
      <c r="E32" s="3">
        <f>IFERROR(fn나이(D32),"")</f>
        <v>22</v>
      </c>
      <c r="F32" s="3" t="s">
        <v>169</v>
      </c>
      <c r="G32" s="3" t="str">
        <f t="array" ref="G32">IFERROR(spl(C32),"")</f>
        <v>김민유</v>
      </c>
      <c r="J32" s="4"/>
      <c r="O32" s="4"/>
    </row>
    <row r="33" spans="1:15" x14ac:dyDescent="0.3">
      <c r="A33" s="3">
        <v>32</v>
      </c>
      <c r="B33" s="3" t="s">
        <v>88</v>
      </c>
      <c r="C33" s="3" t="s">
        <v>25</v>
      </c>
      <c r="D33" s="4">
        <v>35931</v>
      </c>
      <c r="E33" s="3">
        <f>IFERROR(fn나이(D33),"")</f>
        <v>23</v>
      </c>
      <c r="F33" s="3" t="s">
        <v>168</v>
      </c>
      <c r="G33" s="3" t="str">
        <f t="array" ref="G33">IFERROR(spl(C33),"")</f>
        <v>김상현</v>
      </c>
      <c r="J33" s="4"/>
      <c r="O33" s="4"/>
    </row>
    <row r="34" spans="1:15" x14ac:dyDescent="0.3">
      <c r="A34" s="3">
        <v>33</v>
      </c>
      <c r="B34" s="3" t="s">
        <v>88</v>
      </c>
      <c r="C34" s="3" t="s">
        <v>26</v>
      </c>
      <c r="D34" s="4">
        <v>36602</v>
      </c>
      <c r="E34" s="3">
        <f>IFERROR(fn나이(D34),"")</f>
        <v>21</v>
      </c>
      <c r="F34" s="3" t="s">
        <v>172</v>
      </c>
      <c r="G34" s="3" t="str">
        <f t="array" ref="G34">IFERROR(spl(C34),"")</f>
        <v>김진겸</v>
      </c>
      <c r="J34" s="4"/>
      <c r="O34" s="4"/>
    </row>
    <row r="35" spans="1:15" x14ac:dyDescent="0.3">
      <c r="A35" s="3">
        <v>34</v>
      </c>
      <c r="B35" s="3" t="s">
        <v>88</v>
      </c>
      <c r="C35" s="3" t="s">
        <v>132</v>
      </c>
      <c r="D35" s="4">
        <v>35964</v>
      </c>
      <c r="E35" s="3">
        <f>IFERROR(fn나이(D35),"")</f>
        <v>23</v>
      </c>
      <c r="F35" s="3" t="s">
        <v>173</v>
      </c>
      <c r="G35" s="3" t="str">
        <f t="array" ref="G35">IFERROR(spl(C35),"")</f>
        <v>김수민</v>
      </c>
      <c r="J35" s="4"/>
      <c r="O35" s="4"/>
    </row>
    <row r="36" spans="1:15" x14ac:dyDescent="0.3">
      <c r="A36" s="3">
        <v>35</v>
      </c>
      <c r="B36" s="3" t="s">
        <v>88</v>
      </c>
      <c r="C36" s="3" t="s">
        <v>27</v>
      </c>
      <c r="D36" s="4">
        <v>36742</v>
      </c>
      <c r="E36" s="3">
        <f>IFERROR(fn나이(D36),"")</f>
        <v>21</v>
      </c>
      <c r="F36" s="3" t="s">
        <v>172</v>
      </c>
      <c r="G36" s="3" t="str">
        <f t="array" ref="G36">IFERROR(spl(C36),"")</f>
        <v>박준영</v>
      </c>
      <c r="J36" s="4"/>
      <c r="O36" s="4"/>
    </row>
    <row r="37" spans="1:15" x14ac:dyDescent="0.3">
      <c r="A37" s="3">
        <v>36</v>
      </c>
      <c r="B37" s="3" t="s">
        <v>88</v>
      </c>
      <c r="C37" s="3" t="s">
        <v>28</v>
      </c>
      <c r="D37" s="4">
        <v>36422</v>
      </c>
      <c r="E37" s="3">
        <f>IFERROR(fn나이(D37),"")</f>
        <v>22</v>
      </c>
      <c r="F37" s="3" t="s">
        <v>168</v>
      </c>
      <c r="G37" s="3" t="str">
        <f t="array" ref="G37">IFERROR(spl(C37),"")</f>
        <v>윤성민</v>
      </c>
      <c r="J37" s="4"/>
      <c r="O37" s="4"/>
    </row>
    <row r="38" spans="1:15" x14ac:dyDescent="0.3">
      <c r="A38" s="3">
        <v>37</v>
      </c>
      <c r="B38" s="3" t="s">
        <v>88</v>
      </c>
      <c r="C38" s="3" t="s">
        <v>29</v>
      </c>
      <c r="D38" s="4">
        <v>36182</v>
      </c>
      <c r="E38" s="3">
        <f>IFERROR(fn나이(D38),"")</f>
        <v>22</v>
      </c>
      <c r="F38" s="3" t="s">
        <v>172</v>
      </c>
      <c r="G38" s="3" t="str">
        <f t="array" ref="G38">IFERROR(spl(C38),"")</f>
        <v>윤제중</v>
      </c>
      <c r="J38" s="4"/>
      <c r="O38" s="4"/>
    </row>
    <row r="39" spans="1:15" x14ac:dyDescent="0.3">
      <c r="A39" s="3">
        <v>38</v>
      </c>
      <c r="B39" s="3" t="s">
        <v>88</v>
      </c>
      <c r="C39" s="3" t="s">
        <v>30</v>
      </c>
      <c r="D39" s="4">
        <v>36742</v>
      </c>
      <c r="E39" s="3">
        <f>IFERROR(fn나이(D39),"")</f>
        <v>21</v>
      </c>
      <c r="F39" s="3" t="s">
        <v>172</v>
      </c>
      <c r="G39" s="3" t="str">
        <f t="array" ref="G39">IFERROR(spl(C39),"")</f>
        <v>윤제민</v>
      </c>
      <c r="J39" s="4"/>
      <c r="O39" s="4"/>
    </row>
    <row r="40" spans="1:15" x14ac:dyDescent="0.3">
      <c r="A40" s="3">
        <v>39</v>
      </c>
      <c r="B40" s="3" t="s">
        <v>88</v>
      </c>
      <c r="C40" s="3" t="s">
        <v>134</v>
      </c>
      <c r="D40" s="4">
        <v>36476</v>
      </c>
      <c r="E40" s="3">
        <f>IFERROR(fn나이(D40),"")</f>
        <v>22</v>
      </c>
      <c r="F40" s="3" t="s">
        <v>172</v>
      </c>
      <c r="G40" s="3" t="str">
        <f t="array" ref="G40">IFERROR(spl(C40),"")</f>
        <v>남궁유경</v>
      </c>
      <c r="J40" s="4"/>
      <c r="O40" s="4"/>
    </row>
    <row r="41" spans="1:15" x14ac:dyDescent="0.3">
      <c r="A41" s="3">
        <v>40</v>
      </c>
      <c r="B41" s="3" t="s">
        <v>88</v>
      </c>
      <c r="C41" s="3" t="s">
        <v>31</v>
      </c>
      <c r="D41" s="4">
        <v>36602</v>
      </c>
      <c r="E41" s="3">
        <f>IFERROR(fn나이(D41),"")</f>
        <v>21</v>
      </c>
      <c r="F41" s="3" t="s">
        <v>172</v>
      </c>
      <c r="G41" s="3" t="str">
        <f t="array" ref="G41">IFERROR(spl(C41),"")</f>
        <v>김진중</v>
      </c>
      <c r="J41" s="4"/>
      <c r="O41" s="4"/>
    </row>
    <row r="42" spans="1:15" x14ac:dyDescent="0.3">
      <c r="A42" s="3">
        <v>41</v>
      </c>
      <c r="B42" s="3" t="s">
        <v>88</v>
      </c>
      <c r="C42" s="3" t="s">
        <v>32</v>
      </c>
      <c r="D42" s="4">
        <v>36161</v>
      </c>
      <c r="E42" s="3">
        <f>IFERROR(fn나이(D42),"")</f>
        <v>23</v>
      </c>
      <c r="F42" s="3" t="s">
        <v>173</v>
      </c>
      <c r="G42" s="3" t="str">
        <f t="array" ref="G42">IFERROR(spl(C42),"")</f>
        <v>이훈용</v>
      </c>
      <c r="J42" s="4"/>
      <c r="O42" s="4"/>
    </row>
    <row r="43" spans="1:15" x14ac:dyDescent="0.3">
      <c r="A43" s="3">
        <v>1</v>
      </c>
      <c r="B43" s="3" t="s">
        <v>89</v>
      </c>
      <c r="C43" s="3" t="s">
        <v>35</v>
      </c>
      <c r="D43" s="4">
        <v>36837</v>
      </c>
      <c r="E43" s="3">
        <f>IFERROR(fn나이(D43),"")</f>
        <v>21</v>
      </c>
      <c r="F43" s="3" t="s">
        <v>169</v>
      </c>
      <c r="G43" s="3" t="str">
        <f t="array" ref="G43">IFERROR(spl(C43),"")</f>
        <v>김도연</v>
      </c>
      <c r="O43" s="4"/>
    </row>
    <row r="44" spans="1:15" x14ac:dyDescent="0.3">
      <c r="A44" s="3">
        <v>2</v>
      </c>
      <c r="B44" s="3" t="s">
        <v>89</v>
      </c>
      <c r="C44" s="3" t="s">
        <v>36</v>
      </c>
      <c r="D44" s="4">
        <v>36741</v>
      </c>
      <c r="E44" s="3">
        <f>IFERROR(fn나이(D44),"")</f>
        <v>21</v>
      </c>
      <c r="F44" s="3" t="s">
        <v>169</v>
      </c>
      <c r="G44" s="3" t="str">
        <f t="array" ref="G44">IFERROR(spl(C44),"")</f>
        <v>김홍경</v>
      </c>
      <c r="O44" s="4"/>
    </row>
    <row r="45" spans="1:15" x14ac:dyDescent="0.3">
      <c r="A45" s="3">
        <v>3</v>
      </c>
      <c r="B45" s="3" t="s">
        <v>89</v>
      </c>
      <c r="C45" s="3" t="s">
        <v>37</v>
      </c>
      <c r="D45" s="4">
        <v>35840</v>
      </c>
      <c r="E45" s="3">
        <f>IFERROR(fn나이(D45),"")</f>
        <v>23</v>
      </c>
      <c r="F45" s="3" t="s">
        <v>169</v>
      </c>
      <c r="G45" s="3" t="str">
        <f t="array" ref="G45">IFERROR(spl(C45),"")</f>
        <v>박상준</v>
      </c>
      <c r="O45" s="4"/>
    </row>
    <row r="46" spans="1:15" x14ac:dyDescent="0.3">
      <c r="A46" s="3">
        <v>4</v>
      </c>
      <c r="B46" s="3" t="s">
        <v>89</v>
      </c>
      <c r="C46" s="3" t="s">
        <v>38</v>
      </c>
      <c r="D46" s="4">
        <v>36615</v>
      </c>
      <c r="E46" s="3">
        <f>IFERROR(fn나이(D46),"")</f>
        <v>21</v>
      </c>
      <c r="F46" s="3" t="s">
        <v>169</v>
      </c>
      <c r="G46" s="3" t="str">
        <f t="array" ref="G46">IFERROR(spl(C46),"")</f>
        <v>박재우</v>
      </c>
      <c r="O46" s="4"/>
    </row>
    <row r="47" spans="1:15" x14ac:dyDescent="0.3">
      <c r="A47" s="3">
        <v>5</v>
      </c>
      <c r="B47" s="3" t="s">
        <v>89</v>
      </c>
      <c r="C47" s="3" t="s">
        <v>39</v>
      </c>
      <c r="D47" s="4">
        <v>36811</v>
      </c>
      <c r="E47" s="3">
        <f>IFERROR(fn나이(D47),"")</f>
        <v>21</v>
      </c>
      <c r="F47" s="3" t="s">
        <v>169</v>
      </c>
      <c r="G47" s="3" t="str">
        <f t="array" ref="G47">IFERROR(spl(C47),"")</f>
        <v>심규빈</v>
      </c>
      <c r="O47" s="4"/>
    </row>
    <row r="48" spans="1:15" x14ac:dyDescent="0.3">
      <c r="A48" s="3">
        <v>6</v>
      </c>
      <c r="B48" s="3" t="s">
        <v>89</v>
      </c>
      <c r="C48" s="3" t="s">
        <v>40</v>
      </c>
      <c r="D48" s="4">
        <v>36122</v>
      </c>
      <c r="E48" s="3">
        <f>IFERROR(fn나이(D48),"")</f>
        <v>23</v>
      </c>
      <c r="F48" s="3" t="s">
        <v>169</v>
      </c>
      <c r="G48" s="3" t="str">
        <f t="array" ref="G48">IFERROR(spl(C48),"")</f>
        <v>우세희</v>
      </c>
      <c r="O48" s="4"/>
    </row>
    <row r="49" spans="1:15" x14ac:dyDescent="0.3">
      <c r="A49" s="3">
        <v>7</v>
      </c>
      <c r="B49" s="3" t="s">
        <v>89</v>
      </c>
      <c r="C49" s="3" t="s">
        <v>41</v>
      </c>
      <c r="D49" s="4">
        <v>35869</v>
      </c>
      <c r="E49" s="3">
        <f>IFERROR(fn나이(D49),"")</f>
        <v>23</v>
      </c>
      <c r="F49" s="3" t="s">
        <v>169</v>
      </c>
      <c r="G49" s="3" t="str">
        <f t="array" ref="G49">IFERROR(spl(C49),"")</f>
        <v>원석호</v>
      </c>
      <c r="O49" s="4"/>
    </row>
    <row r="50" spans="1:15" x14ac:dyDescent="0.3">
      <c r="A50" s="3">
        <v>8</v>
      </c>
      <c r="B50" s="3" t="s">
        <v>89</v>
      </c>
      <c r="C50" s="3" t="s">
        <v>42</v>
      </c>
      <c r="D50" s="4">
        <v>35893</v>
      </c>
      <c r="E50" s="3">
        <f>IFERROR(fn나이(D50),"")</f>
        <v>23</v>
      </c>
      <c r="F50" s="3" t="s">
        <v>172</v>
      </c>
      <c r="G50" s="3" t="str">
        <f t="array" ref="G50">IFERROR(spl(C50),"")</f>
        <v>유재혁</v>
      </c>
      <c r="O50" s="4"/>
    </row>
    <row r="51" spans="1:15" x14ac:dyDescent="0.3">
      <c r="A51" s="3">
        <v>9</v>
      </c>
      <c r="B51" s="3" t="s">
        <v>89</v>
      </c>
      <c r="C51" s="3" t="s">
        <v>43</v>
      </c>
      <c r="D51" s="4">
        <v>36520</v>
      </c>
      <c r="E51" s="3">
        <f>IFERROR(fn나이(D51),"")</f>
        <v>22</v>
      </c>
      <c r="F51" s="3" t="s">
        <v>168</v>
      </c>
      <c r="G51" s="3" t="str">
        <f t="array" ref="G51">IFERROR(spl(C51),"")</f>
        <v>이건욱</v>
      </c>
    </row>
    <row r="52" spans="1:15" x14ac:dyDescent="0.3">
      <c r="A52" s="3">
        <v>10</v>
      </c>
      <c r="B52" s="3" t="s">
        <v>89</v>
      </c>
      <c r="C52" s="3" t="s">
        <v>44</v>
      </c>
      <c r="D52" s="4">
        <v>36075</v>
      </c>
      <c r="E52" s="3">
        <f>IFERROR(fn나이(D52),"")</f>
        <v>23</v>
      </c>
      <c r="F52" s="3" t="s">
        <v>172</v>
      </c>
      <c r="G52" s="3" t="str">
        <f t="array" ref="G52">IFERROR(spl(C52),"")</f>
        <v>이광욱</v>
      </c>
    </row>
    <row r="53" spans="1:15" x14ac:dyDescent="0.3">
      <c r="A53" s="3">
        <v>11</v>
      </c>
      <c r="B53" s="3" t="s">
        <v>89</v>
      </c>
      <c r="C53" s="3" t="s">
        <v>45</v>
      </c>
      <c r="D53" s="4">
        <v>36239</v>
      </c>
      <c r="E53" s="3">
        <f>IFERROR(fn나이(D53),"")</f>
        <v>22</v>
      </c>
      <c r="F53" s="3" t="s">
        <v>172</v>
      </c>
      <c r="G53" s="3" t="str">
        <f t="array" ref="G53">IFERROR(spl(C53),"")</f>
        <v>이상협</v>
      </c>
    </row>
    <row r="54" spans="1:15" x14ac:dyDescent="0.3">
      <c r="A54" s="3">
        <v>12</v>
      </c>
      <c r="B54" s="3" t="s">
        <v>89</v>
      </c>
      <c r="C54" s="3" t="s">
        <v>46</v>
      </c>
      <c r="D54" s="4">
        <v>36651</v>
      </c>
      <c r="E54" s="3">
        <f>IFERROR(fn나이(D54),"")</f>
        <v>21</v>
      </c>
      <c r="F54" s="3" t="s">
        <v>172</v>
      </c>
      <c r="G54" s="3" t="str">
        <f t="array" ref="G54">IFERROR(spl(C54),"")</f>
        <v>이혜민</v>
      </c>
    </row>
    <row r="55" spans="1:15" x14ac:dyDescent="0.3">
      <c r="A55" s="3">
        <v>13</v>
      </c>
      <c r="B55" s="3" t="s">
        <v>89</v>
      </c>
      <c r="C55" s="3" t="s">
        <v>47</v>
      </c>
      <c r="D55" s="4">
        <v>36365</v>
      </c>
      <c r="E55" s="3">
        <f>IFERROR(fn나이(D55),"")</f>
        <v>22</v>
      </c>
      <c r="F55" s="3" t="s">
        <v>172</v>
      </c>
      <c r="G55" s="3" t="str">
        <f t="array" ref="G55">IFERROR(spl(C55),"")</f>
        <v>정호성</v>
      </c>
    </row>
    <row r="56" spans="1:15" x14ac:dyDescent="0.3">
      <c r="A56" s="3">
        <v>14</v>
      </c>
      <c r="B56" s="3" t="s">
        <v>89</v>
      </c>
      <c r="C56" s="3" t="s">
        <v>48</v>
      </c>
      <c r="D56" s="4">
        <v>36766</v>
      </c>
      <c r="E56" s="3">
        <f>IFERROR(fn나이(D56),"")</f>
        <v>21</v>
      </c>
      <c r="F56" s="3" t="s">
        <v>173</v>
      </c>
      <c r="G56" s="3" t="str">
        <f t="array" ref="G56">IFERROR(spl(C56),"")</f>
        <v xml:space="preserve">김별은 </v>
      </c>
    </row>
    <row r="57" spans="1:15" x14ac:dyDescent="0.3">
      <c r="A57" s="3">
        <v>15</v>
      </c>
      <c r="B57" s="3" t="s">
        <v>89</v>
      </c>
      <c r="C57" s="3" t="s">
        <v>49</v>
      </c>
      <c r="D57" s="4">
        <v>36766</v>
      </c>
      <c r="E57" s="3">
        <f>IFERROR(fn나이(D57),"")</f>
        <v>21</v>
      </c>
      <c r="F57" s="3" t="s">
        <v>172</v>
      </c>
      <c r="G57" s="3" t="str">
        <f t="array" ref="G57">IFERROR(spl(C57),"")</f>
        <v xml:space="preserve">김은별 </v>
      </c>
    </row>
    <row r="58" spans="1:15" x14ac:dyDescent="0.3">
      <c r="A58" s="3">
        <v>16</v>
      </c>
      <c r="B58" s="3" t="s">
        <v>89</v>
      </c>
      <c r="C58" s="3" t="s">
        <v>50</v>
      </c>
      <c r="D58" s="4">
        <v>36520</v>
      </c>
      <c r="E58" s="3">
        <f>IFERROR(fn나이(D58),"")</f>
        <v>22</v>
      </c>
      <c r="F58" s="3" t="s">
        <v>172</v>
      </c>
      <c r="G58" s="3" t="str">
        <f t="array" ref="G58">IFERROR(spl(C58),"")</f>
        <v>권현우</v>
      </c>
    </row>
    <row r="59" spans="1:15" x14ac:dyDescent="0.3">
      <c r="A59" s="3">
        <v>17</v>
      </c>
      <c r="B59" s="3" t="s">
        <v>89</v>
      </c>
      <c r="C59" s="3" t="s">
        <v>51</v>
      </c>
      <c r="D59" s="4">
        <v>35878</v>
      </c>
      <c r="E59" s="3">
        <f>IFERROR(fn나이(D59),"")</f>
        <v>23</v>
      </c>
      <c r="F59" s="3" t="s">
        <v>169</v>
      </c>
      <c r="G59" s="3" t="str">
        <f t="array" ref="G59">IFERROR(spl(C59),"")</f>
        <v>김미르</v>
      </c>
    </row>
    <row r="60" spans="1:15" x14ac:dyDescent="0.3">
      <c r="A60" s="3">
        <v>18</v>
      </c>
      <c r="B60" s="3" t="s">
        <v>89</v>
      </c>
      <c r="C60" s="3" t="s">
        <v>52</v>
      </c>
      <c r="D60" s="4">
        <v>35807</v>
      </c>
      <c r="E60" s="3">
        <f>IFERROR(fn나이(D60),"")</f>
        <v>24</v>
      </c>
      <c r="F60" s="3" t="s">
        <v>169</v>
      </c>
      <c r="G60" s="3" t="str">
        <f t="array" ref="G60">IFERROR(spl(C60),"")</f>
        <v>김민석</v>
      </c>
    </row>
    <row r="61" spans="1:15" x14ac:dyDescent="0.3">
      <c r="A61" s="3">
        <v>19</v>
      </c>
      <c r="B61" s="3" t="s">
        <v>89</v>
      </c>
      <c r="C61" s="3" t="s">
        <v>53</v>
      </c>
      <c r="D61" s="4">
        <v>36203</v>
      </c>
      <c r="E61" s="3">
        <f>IFERROR(fn나이(D61),"")</f>
        <v>22</v>
      </c>
      <c r="F61" s="3" t="s">
        <v>172</v>
      </c>
      <c r="G61" s="3" t="str">
        <f t="array" ref="G61">IFERROR(spl(C61),"")</f>
        <v>김선겸</v>
      </c>
    </row>
    <row r="62" spans="1:15" x14ac:dyDescent="0.3">
      <c r="A62" s="3">
        <v>20</v>
      </c>
      <c r="B62" s="3" t="s">
        <v>89</v>
      </c>
      <c r="C62" s="3" t="s">
        <v>65</v>
      </c>
      <c r="D62" s="4">
        <v>36521</v>
      </c>
      <c r="E62" s="3">
        <f>IFERROR(fn나이(D62),"")</f>
        <v>22</v>
      </c>
      <c r="F62" s="3" t="s">
        <v>168</v>
      </c>
      <c r="G62" s="3" t="str">
        <f t="array" ref="G62">IFERROR(spl(C62),"")</f>
        <v>허수한</v>
      </c>
    </row>
    <row r="63" spans="1:15" x14ac:dyDescent="0.3">
      <c r="A63" s="3">
        <v>21</v>
      </c>
      <c r="B63" s="3" t="s">
        <v>89</v>
      </c>
      <c r="C63" s="3" t="s">
        <v>55</v>
      </c>
      <c r="D63" s="4">
        <v>36216</v>
      </c>
      <c r="E63" s="3">
        <f>IFERROR(fn나이(D63),"")</f>
        <v>22</v>
      </c>
      <c r="F63" s="3" t="s">
        <v>172</v>
      </c>
      <c r="G63" s="3" t="str">
        <f t="array" ref="G63">IFERROR(spl(C63),"")</f>
        <v>박신형</v>
      </c>
    </row>
    <row r="64" spans="1:15" x14ac:dyDescent="0.3">
      <c r="A64" s="3">
        <v>22</v>
      </c>
      <c r="B64" s="3" t="s">
        <v>89</v>
      </c>
      <c r="C64" s="3" t="s">
        <v>56</v>
      </c>
      <c r="D64" s="4">
        <v>36104</v>
      </c>
      <c r="E64" s="3">
        <f>IFERROR(fn나이(D64),"")</f>
        <v>23</v>
      </c>
      <c r="F64" s="3" t="s">
        <v>172</v>
      </c>
      <c r="G64" s="3" t="str">
        <f t="array" ref="G64">IFERROR(spl(C64),"")</f>
        <v>박형민</v>
      </c>
    </row>
    <row r="65" spans="1:7" x14ac:dyDescent="0.3">
      <c r="A65" s="3">
        <v>23</v>
      </c>
      <c r="B65" s="3" t="s">
        <v>89</v>
      </c>
      <c r="C65" s="3" t="s">
        <v>57</v>
      </c>
      <c r="D65" s="4">
        <v>36104</v>
      </c>
      <c r="E65" s="3">
        <f>IFERROR(fn나이(D65),"")</f>
        <v>23</v>
      </c>
      <c r="F65" s="3" t="s">
        <v>174</v>
      </c>
      <c r="G65" s="3" t="str">
        <f t="array" ref="G65">IFERROR(spl(C65),"")</f>
        <v>박정민</v>
      </c>
    </row>
    <row r="66" spans="1:7" x14ac:dyDescent="0.3">
      <c r="A66" s="3">
        <v>24</v>
      </c>
      <c r="B66" s="3" t="s">
        <v>89</v>
      </c>
      <c r="C66" s="3" t="s">
        <v>58</v>
      </c>
      <c r="D66" s="4">
        <v>36681</v>
      </c>
      <c r="E66" s="3">
        <f>IFERROR(fn나이(D66),"")</f>
        <v>21</v>
      </c>
      <c r="F66" s="3" t="s">
        <v>172</v>
      </c>
      <c r="G66" s="3" t="str">
        <f t="array" ref="G66">IFERROR(spl(C66),"")</f>
        <v>안도현</v>
      </c>
    </row>
    <row r="67" spans="1:7" x14ac:dyDescent="0.3">
      <c r="A67" s="3">
        <v>25</v>
      </c>
      <c r="B67" s="3" t="s">
        <v>89</v>
      </c>
      <c r="C67" s="3" t="s">
        <v>71</v>
      </c>
      <c r="D67" s="4">
        <v>36089</v>
      </c>
      <c r="E67" s="3">
        <f>IFERROR(fn나이(D67),"")</f>
        <v>23</v>
      </c>
      <c r="F67" s="3" t="s">
        <v>172</v>
      </c>
      <c r="G67" s="3" t="str">
        <f t="array" ref="G67">IFERROR(spl(C67),"")</f>
        <v>김진언</v>
      </c>
    </row>
    <row r="68" spans="1:7" x14ac:dyDescent="0.3">
      <c r="A68" s="3">
        <v>26</v>
      </c>
      <c r="B68" s="3" t="s">
        <v>89</v>
      </c>
      <c r="C68" s="3" t="s">
        <v>59</v>
      </c>
      <c r="D68" s="4">
        <v>36286</v>
      </c>
      <c r="E68" s="3">
        <f>IFERROR(fn나이(D68),"")</f>
        <v>22</v>
      </c>
      <c r="F68" s="3" t="s">
        <v>172</v>
      </c>
      <c r="G68" s="3" t="str">
        <f t="array" ref="G68">IFERROR(spl(C68),"")</f>
        <v>이유라</v>
      </c>
    </row>
    <row r="69" spans="1:7" x14ac:dyDescent="0.3">
      <c r="A69" s="3">
        <v>27</v>
      </c>
      <c r="B69" s="3" t="s">
        <v>89</v>
      </c>
      <c r="C69" s="3" t="s">
        <v>60</v>
      </c>
      <c r="D69" s="4">
        <v>36507</v>
      </c>
      <c r="E69" s="3">
        <f>IFERROR(fn나이(D69),"")</f>
        <v>22</v>
      </c>
      <c r="F69" s="3" t="s">
        <v>169</v>
      </c>
      <c r="G69" s="3" t="str">
        <f t="array" ref="G69">IFERROR(spl(C69),"")</f>
        <v>이정복</v>
      </c>
    </row>
    <row r="70" spans="1:7" x14ac:dyDescent="0.3">
      <c r="A70" s="3">
        <v>28</v>
      </c>
      <c r="B70" s="3" t="s">
        <v>89</v>
      </c>
      <c r="C70" s="3" t="s">
        <v>61</v>
      </c>
      <c r="D70" s="4">
        <v>35804</v>
      </c>
      <c r="E70" s="3">
        <f>IFERROR(fn나이(D70),"")</f>
        <v>24</v>
      </c>
      <c r="F70" s="3" t="s">
        <v>172</v>
      </c>
      <c r="G70" s="3" t="str">
        <f t="array" ref="G70">IFERROR(spl(C70),"")</f>
        <v>임수홍</v>
      </c>
    </row>
    <row r="71" spans="1:7" x14ac:dyDescent="0.3">
      <c r="A71" s="3">
        <v>29</v>
      </c>
      <c r="B71" s="3" t="s">
        <v>89</v>
      </c>
      <c r="C71" s="3" t="s">
        <v>62</v>
      </c>
      <c r="D71" s="4">
        <v>36810</v>
      </c>
      <c r="E71" s="3">
        <f>IFERROR(fn나이(D71),"")</f>
        <v>21</v>
      </c>
      <c r="F71" s="3" t="s">
        <v>172</v>
      </c>
      <c r="G71" s="3" t="str">
        <f t="array" ref="G71">IFERROR(spl(C71),"")</f>
        <v>장종현</v>
      </c>
    </row>
    <row r="72" spans="1:7" x14ac:dyDescent="0.3">
      <c r="A72" s="3">
        <v>30</v>
      </c>
      <c r="B72" s="3" t="s">
        <v>89</v>
      </c>
      <c r="C72" s="3" t="s">
        <v>63</v>
      </c>
      <c r="D72" s="4">
        <v>36709</v>
      </c>
      <c r="E72" s="3">
        <f>IFERROR(fn나이(D72),"")</f>
        <v>21</v>
      </c>
      <c r="F72" s="3" t="s">
        <v>173</v>
      </c>
      <c r="G72" s="3" t="str">
        <f t="array" ref="G72">IFERROR(spl(C72),"")</f>
        <v>조재영</v>
      </c>
    </row>
    <row r="73" spans="1:7" x14ac:dyDescent="0.3">
      <c r="A73" s="3">
        <v>31</v>
      </c>
      <c r="B73" s="3" t="s">
        <v>89</v>
      </c>
      <c r="C73" s="3" t="s">
        <v>65</v>
      </c>
      <c r="D73" s="4">
        <v>36377</v>
      </c>
      <c r="E73" s="3">
        <f>IFERROR(fn나이(D73),"")</f>
        <v>22</v>
      </c>
      <c r="F73" s="3" t="s">
        <v>172</v>
      </c>
      <c r="G73" s="3" t="str">
        <f t="array" ref="G73">IFERROR(spl(C73),"")</f>
        <v>허수한</v>
      </c>
    </row>
    <row r="74" spans="1:7" x14ac:dyDescent="0.3">
      <c r="A74" s="3">
        <v>32</v>
      </c>
      <c r="B74" s="3" t="s">
        <v>89</v>
      </c>
      <c r="C74" s="3" t="s">
        <v>64</v>
      </c>
      <c r="D74" s="4">
        <v>36714</v>
      </c>
      <c r="E74" s="3">
        <f>IFERROR(fn나이(D74),"")</f>
        <v>21</v>
      </c>
      <c r="F74" s="3" t="s">
        <v>172</v>
      </c>
      <c r="G74" s="3" t="str">
        <f t="array" ref="G74">IFERROR(spl(C74),"")</f>
        <v>함현지</v>
      </c>
    </row>
    <row r="75" spans="1:7" x14ac:dyDescent="0.3">
      <c r="A75" s="3">
        <v>33</v>
      </c>
      <c r="B75" s="3" t="s">
        <v>89</v>
      </c>
      <c r="C75" s="3" t="s">
        <v>90</v>
      </c>
      <c r="D75" s="4">
        <v>36521</v>
      </c>
      <c r="E75" s="3">
        <f>IFERROR(fn나이(D75),"")</f>
        <v>22</v>
      </c>
      <c r="F75" s="3" t="s">
        <v>168</v>
      </c>
      <c r="G75" s="3" t="str">
        <f t="array" ref="G75">IFERROR(spl(C75),"")</f>
        <v>허수한</v>
      </c>
    </row>
    <row r="76" spans="1:7" x14ac:dyDescent="0.3">
      <c r="A76" s="3">
        <v>34</v>
      </c>
      <c r="B76" s="3" t="s">
        <v>89</v>
      </c>
      <c r="C76" s="3" t="s">
        <v>66</v>
      </c>
      <c r="D76" s="4">
        <v>36708</v>
      </c>
      <c r="E76" s="3">
        <f>IFERROR(fn나이(D76),"")</f>
        <v>21</v>
      </c>
      <c r="F76" s="3" t="s">
        <v>168</v>
      </c>
      <c r="G76" s="3" t="str">
        <f t="array" ref="G76">IFERROR(spl(C76),"")</f>
        <v>서인준</v>
      </c>
    </row>
    <row r="77" spans="1:7" x14ac:dyDescent="0.3">
      <c r="A77" s="3">
        <v>35</v>
      </c>
      <c r="B77" s="3" t="s">
        <v>89</v>
      </c>
      <c r="C77" s="3" t="s">
        <v>67</v>
      </c>
      <c r="D77" s="4">
        <v>36373</v>
      </c>
      <c r="E77" s="3">
        <f>IFERROR(fn나이(D77),"")</f>
        <v>22</v>
      </c>
      <c r="F77" s="3" t="s">
        <v>172</v>
      </c>
      <c r="G77" s="3" t="str">
        <f t="array" ref="G77">IFERROR(spl(C77),"")</f>
        <v>권윤학</v>
      </c>
    </row>
    <row r="78" spans="1:7" x14ac:dyDescent="0.3">
      <c r="A78" s="3">
        <v>36</v>
      </c>
      <c r="B78" s="3" t="s">
        <v>89</v>
      </c>
      <c r="C78" s="3" t="s">
        <v>68</v>
      </c>
      <c r="D78" s="4">
        <v>36260</v>
      </c>
      <c r="E78" s="3">
        <f>IFERROR(fn나이(D78),"")</f>
        <v>22</v>
      </c>
      <c r="F78" s="3" t="s">
        <v>168</v>
      </c>
      <c r="G78" s="3" t="str">
        <f t="array" ref="G78">IFERROR(spl(C78),"")</f>
        <v>김시몬</v>
      </c>
    </row>
    <row r="79" spans="1:7" x14ac:dyDescent="0.3">
      <c r="A79" s="3">
        <v>37</v>
      </c>
      <c r="B79" s="3" t="s">
        <v>89</v>
      </c>
      <c r="C79" s="3" t="s">
        <v>69</v>
      </c>
      <c r="D79" s="4">
        <v>36282</v>
      </c>
      <c r="E79" s="3">
        <f>IFERROR(fn나이(D79),"")</f>
        <v>22</v>
      </c>
      <c r="F79" s="3" t="s">
        <v>172</v>
      </c>
      <c r="G79" s="3" t="str">
        <f t="array" ref="G79">IFERROR(spl(C79),"")</f>
        <v>김유진</v>
      </c>
    </row>
    <row r="80" spans="1:7" x14ac:dyDescent="0.3">
      <c r="A80" s="3">
        <v>38</v>
      </c>
      <c r="B80" s="3" t="s">
        <v>89</v>
      </c>
      <c r="C80" s="3" t="s">
        <v>70</v>
      </c>
      <c r="D80" s="4">
        <v>35904</v>
      </c>
      <c r="E80" s="3">
        <f>IFERROR(fn나이(D80),"")</f>
        <v>23</v>
      </c>
      <c r="F80" s="3" t="s">
        <v>168</v>
      </c>
      <c r="G80" s="3" t="str">
        <f t="array" ref="G80">IFERROR(spl(C80),"")</f>
        <v>김조훈</v>
      </c>
    </row>
    <row r="81" spans="1:7" x14ac:dyDescent="0.3">
      <c r="A81" s="3">
        <v>39</v>
      </c>
      <c r="B81" s="3" t="s">
        <v>89</v>
      </c>
      <c r="C81" s="3" t="s">
        <v>135</v>
      </c>
      <c r="D81" s="4">
        <v>36475</v>
      </c>
      <c r="E81" s="3">
        <f>IFERROR(fn나이(D81),"")</f>
        <v>22</v>
      </c>
      <c r="F81" s="3" t="s">
        <v>172</v>
      </c>
      <c r="G81" s="3" t="str">
        <f t="array" ref="G81">IFERROR(spl(C81),"")</f>
        <v>이산</v>
      </c>
    </row>
    <row r="82" spans="1:7" x14ac:dyDescent="0.3">
      <c r="A82" s="3">
        <v>40</v>
      </c>
      <c r="B82" s="3" t="s">
        <v>89</v>
      </c>
      <c r="C82" s="3" t="s">
        <v>54</v>
      </c>
      <c r="D82" s="4">
        <v>35991</v>
      </c>
      <c r="E82" s="3">
        <f>IFERROR(fn나이(D82),"")</f>
        <v>23</v>
      </c>
      <c r="F82" s="3" t="s">
        <v>168</v>
      </c>
      <c r="G82" s="3" t="str">
        <f t="array" ref="G82">IFERROR(spl(C82),"")</f>
        <v>박성훈</v>
      </c>
    </row>
    <row r="83" spans="1:7" x14ac:dyDescent="0.3">
      <c r="A83" s="3">
        <v>41</v>
      </c>
      <c r="B83" s="3" t="s">
        <v>89</v>
      </c>
      <c r="C83" s="3" t="s">
        <v>72</v>
      </c>
      <c r="D83" s="4">
        <v>36618</v>
      </c>
      <c r="E83" s="3">
        <f>IFERROR(fn나이(D83),"")</f>
        <v>21</v>
      </c>
      <c r="F83" s="3" t="s">
        <v>173</v>
      </c>
      <c r="G83" s="3" t="str">
        <f t="array" ref="G83">IFERROR(spl(C83),"")</f>
        <v>석효빈</v>
      </c>
    </row>
    <row r="84" spans="1:7" x14ac:dyDescent="0.3">
      <c r="A84" s="3">
        <v>42</v>
      </c>
      <c r="B84" s="3" t="s">
        <v>89</v>
      </c>
      <c r="C84" s="3" t="s">
        <v>73</v>
      </c>
      <c r="D84" s="4">
        <v>35909</v>
      </c>
      <c r="E84" s="3">
        <f>IFERROR(fn나이(D84),"")</f>
        <v>23</v>
      </c>
      <c r="F84" s="3" t="s">
        <v>172</v>
      </c>
      <c r="G84" s="3" t="str">
        <f t="array" ref="G84">IFERROR(spl(C84),"")</f>
        <v>양효빈</v>
      </c>
    </row>
    <row r="85" spans="1:7" x14ac:dyDescent="0.3">
      <c r="A85" s="3">
        <v>43</v>
      </c>
      <c r="B85" s="3" t="s">
        <v>89</v>
      </c>
      <c r="C85" s="3" t="s">
        <v>133</v>
      </c>
      <c r="D85" s="4">
        <v>36521</v>
      </c>
      <c r="E85" s="3">
        <f>IFERROR(fn나이(D85),"")</f>
        <v>22</v>
      </c>
      <c r="F85" s="3" t="s">
        <v>173</v>
      </c>
      <c r="G85" s="3" t="str">
        <f t="array" ref="G85">IFERROR(spl(C85),"")</f>
        <v>허수한</v>
      </c>
    </row>
    <row r="86" spans="1:7" x14ac:dyDescent="0.3">
      <c r="A86" s="3">
        <v>44</v>
      </c>
      <c r="B86" s="3" t="s">
        <v>89</v>
      </c>
      <c r="C86" s="3" t="s">
        <v>74</v>
      </c>
      <c r="D86" s="4">
        <v>36206</v>
      </c>
      <c r="E86" s="3">
        <f>IFERROR(fn나이(D86),"")</f>
        <v>22</v>
      </c>
      <c r="F86" s="3" t="s">
        <v>173</v>
      </c>
      <c r="G86" s="3" t="str">
        <f t="array" ref="G86">IFERROR(spl(C86),"")</f>
        <v>윤선영</v>
      </c>
    </row>
    <row r="87" spans="1:7" x14ac:dyDescent="0.3">
      <c r="A87" s="3">
        <v>45</v>
      </c>
      <c r="B87" s="3" t="s">
        <v>89</v>
      </c>
      <c r="C87" s="3" t="s">
        <v>54</v>
      </c>
      <c r="D87" s="4">
        <v>36712</v>
      </c>
      <c r="E87" s="3">
        <f>IFERROR(fn나이(D87),"")</f>
        <v>21</v>
      </c>
      <c r="F87" s="3" t="s">
        <v>168</v>
      </c>
      <c r="G87" s="3" t="str">
        <f t="array" ref="G87">IFERROR(spl(C87),"")</f>
        <v>박성훈</v>
      </c>
    </row>
    <row r="88" spans="1:7" x14ac:dyDescent="0.3">
      <c r="A88" s="3">
        <v>46</v>
      </c>
      <c r="B88" s="3" t="s">
        <v>89</v>
      </c>
      <c r="C88" s="3" t="s">
        <v>75</v>
      </c>
      <c r="D88" s="4">
        <v>36115</v>
      </c>
      <c r="E88" s="3">
        <f>IFERROR(fn나이(D88),"")</f>
        <v>23</v>
      </c>
      <c r="F88" s="3" t="s">
        <v>173</v>
      </c>
      <c r="G88" s="3" t="str">
        <f t="array" ref="G88">IFERROR(spl(C88),"")</f>
        <v>이건흠</v>
      </c>
    </row>
    <row r="89" spans="1:7" x14ac:dyDescent="0.3">
      <c r="A89" s="3">
        <v>47</v>
      </c>
      <c r="B89" s="3" t="s">
        <v>89</v>
      </c>
      <c r="C89" s="3" t="s">
        <v>76</v>
      </c>
      <c r="D89" s="4">
        <v>36764</v>
      </c>
      <c r="E89" s="3">
        <f>IFERROR(fn나이(D89),"")</f>
        <v>21</v>
      </c>
      <c r="F89" s="3" t="s">
        <v>173</v>
      </c>
      <c r="G89" s="3" t="str">
        <f t="array" ref="G89">IFERROR(spl(C89),"")</f>
        <v>최혜성</v>
      </c>
    </row>
    <row r="90" spans="1:7" x14ac:dyDescent="0.3">
      <c r="A90" s="3">
        <v>48</v>
      </c>
      <c r="B90" s="3" t="s">
        <v>89</v>
      </c>
      <c r="C90" s="3" t="s">
        <v>77</v>
      </c>
      <c r="D90" s="4">
        <v>36678</v>
      </c>
      <c r="E90" s="3">
        <f>IFERROR(fn나이(D90),"")</f>
        <v>21</v>
      </c>
      <c r="F90" s="3" t="s">
        <v>168</v>
      </c>
      <c r="G90" s="3" t="str">
        <f t="array" ref="G90">IFERROR(spl(C90),"")</f>
        <v>한상우</v>
      </c>
    </row>
    <row r="91" spans="1:7" x14ac:dyDescent="0.3">
      <c r="A91" s="3">
        <v>49</v>
      </c>
      <c r="B91" s="3" t="s">
        <v>89</v>
      </c>
      <c r="C91" s="3" t="s">
        <v>78</v>
      </c>
      <c r="D91" s="4">
        <v>36343</v>
      </c>
      <c r="E91" s="3">
        <f>IFERROR(fn나이(D91),"")</f>
        <v>22</v>
      </c>
      <c r="F91" s="3" t="s">
        <v>172</v>
      </c>
      <c r="G91" s="3" t="str">
        <f t="array" ref="G91">IFERROR(spl(C91),"")</f>
        <v>정종민</v>
      </c>
    </row>
    <row r="92" spans="1:7" x14ac:dyDescent="0.3">
      <c r="D92" s="4"/>
      <c r="G92" s="3" t="str">
        <f t="array" ref="G92">IFERROR(spl(C92),"")</f>
        <v/>
      </c>
    </row>
    <row r="93" spans="1:7" x14ac:dyDescent="0.3">
      <c r="D93" s="4"/>
      <c r="E93" s="3" t="str">
        <f t="shared" ref="E93:E135" si="0">IFERROR(fn나이(D93),"")</f>
        <v/>
      </c>
      <c r="G93" s="3" t="str">
        <f t="array" ref="G93">IFERROR(spl(C93),"")</f>
        <v/>
      </c>
    </row>
    <row r="94" spans="1:7" x14ac:dyDescent="0.3">
      <c r="D94" s="4"/>
      <c r="E94" s="3" t="str">
        <f t="shared" si="0"/>
        <v/>
      </c>
      <c r="G94" s="3" t="str">
        <f t="array" ref="G94">IFERROR(spl(C94),"")</f>
        <v/>
      </c>
    </row>
    <row r="95" spans="1:7" x14ac:dyDescent="0.3">
      <c r="D95" s="4"/>
      <c r="E95" s="3" t="str">
        <f t="shared" si="0"/>
        <v/>
      </c>
      <c r="G95" s="3" t="str">
        <f t="array" ref="G95">IFERROR(spl(C95),"")</f>
        <v/>
      </c>
    </row>
    <row r="96" spans="1:7" x14ac:dyDescent="0.3">
      <c r="E96" s="3" t="str">
        <f t="shared" si="0"/>
        <v/>
      </c>
      <c r="G96" s="3" t="str">
        <f t="array" ref="G96">IFERROR(spl(C96),"")</f>
        <v/>
      </c>
    </row>
    <row r="97" spans="5:7" x14ac:dyDescent="0.3">
      <c r="E97" s="3" t="str">
        <f t="shared" si="0"/>
        <v/>
      </c>
      <c r="G97" s="3" t="str">
        <f t="array" ref="G97">IFERROR(spl(C97),"")</f>
        <v/>
      </c>
    </row>
    <row r="98" spans="5:7" x14ac:dyDescent="0.3">
      <c r="E98" s="3" t="str">
        <f t="shared" si="0"/>
        <v/>
      </c>
      <c r="G98" s="3" t="str">
        <f t="array" ref="G98">IFERROR(spl(C98),"")</f>
        <v/>
      </c>
    </row>
    <row r="99" spans="5:7" x14ac:dyDescent="0.3">
      <c r="E99" s="3" t="str">
        <f t="shared" si="0"/>
        <v/>
      </c>
      <c r="G99" s="3" t="str">
        <f t="array" ref="G99">IFERROR(spl(C99),"")</f>
        <v/>
      </c>
    </row>
    <row r="100" spans="5:7" x14ac:dyDescent="0.3">
      <c r="E100" s="3" t="str">
        <f t="shared" si="0"/>
        <v/>
      </c>
      <c r="G100" s="3" t="str">
        <f t="array" ref="G100">IFERROR(spl(C100),"")</f>
        <v/>
      </c>
    </row>
    <row r="101" spans="5:7" x14ac:dyDescent="0.3">
      <c r="E101" s="3" t="str">
        <f t="shared" si="0"/>
        <v/>
      </c>
      <c r="G101" s="3" t="str">
        <f t="array" ref="G101">IFERROR(spl(C101),"")</f>
        <v/>
      </c>
    </row>
    <row r="102" spans="5:7" x14ac:dyDescent="0.3">
      <c r="E102" s="3" t="str">
        <f t="shared" si="0"/>
        <v/>
      </c>
      <c r="G102" s="3" t="str">
        <f t="array" ref="G102">IFERROR(spl(C102),"")</f>
        <v/>
      </c>
    </row>
    <row r="103" spans="5:7" x14ac:dyDescent="0.3">
      <c r="E103" s="3" t="str">
        <f t="shared" si="0"/>
        <v/>
      </c>
      <c r="G103" s="3" t="str">
        <f t="array" ref="G103">IFERROR(spl(C103),"")</f>
        <v/>
      </c>
    </row>
    <row r="104" spans="5:7" x14ac:dyDescent="0.3">
      <c r="E104" s="3" t="str">
        <f t="shared" si="0"/>
        <v/>
      </c>
      <c r="G104" s="3" t="str">
        <f t="array" ref="G104">IFERROR(spl(C104),"")</f>
        <v/>
      </c>
    </row>
    <row r="105" spans="5:7" x14ac:dyDescent="0.3">
      <c r="E105" s="3" t="str">
        <f t="shared" si="0"/>
        <v/>
      </c>
      <c r="G105" s="3" t="str">
        <f t="array" ref="G105">IFERROR(spl(C105),"")</f>
        <v/>
      </c>
    </row>
    <row r="106" spans="5:7" x14ac:dyDescent="0.3">
      <c r="E106" s="3" t="str">
        <f t="shared" si="0"/>
        <v/>
      </c>
      <c r="G106" s="3" t="str">
        <f t="array" ref="G106">IFERROR(spl(C106),"")</f>
        <v/>
      </c>
    </row>
    <row r="107" spans="5:7" x14ac:dyDescent="0.3">
      <c r="E107" s="3" t="str">
        <f t="shared" si="0"/>
        <v/>
      </c>
      <c r="G107" s="3" t="str">
        <f t="array" ref="G107">IFERROR(spl(C107),"")</f>
        <v/>
      </c>
    </row>
    <row r="108" spans="5:7" x14ac:dyDescent="0.3">
      <c r="E108" s="3" t="str">
        <f t="shared" si="0"/>
        <v/>
      </c>
      <c r="G108" s="3" t="str">
        <f t="array" ref="G108">IFERROR(spl(C108),"")</f>
        <v/>
      </c>
    </row>
    <row r="109" spans="5:7" x14ac:dyDescent="0.3">
      <c r="E109" s="3" t="str">
        <f t="shared" si="0"/>
        <v/>
      </c>
      <c r="G109" s="3" t="str">
        <f t="array" ref="G109">IFERROR(spl(C109),"")</f>
        <v/>
      </c>
    </row>
    <row r="110" spans="5:7" x14ac:dyDescent="0.3">
      <c r="E110" s="3" t="str">
        <f t="shared" si="0"/>
        <v/>
      </c>
      <c r="G110" s="3" t="str">
        <f t="array" ref="G110">IFERROR(spl(C110),"")</f>
        <v/>
      </c>
    </row>
    <row r="111" spans="5:7" x14ac:dyDescent="0.3">
      <c r="E111" s="3" t="str">
        <f t="shared" si="0"/>
        <v/>
      </c>
      <c r="G111" s="3" t="str">
        <f t="array" ref="G111">IFERROR(spl(C111),"")</f>
        <v/>
      </c>
    </row>
    <row r="112" spans="5:7" x14ac:dyDescent="0.3">
      <c r="E112" s="3" t="str">
        <f t="shared" si="0"/>
        <v/>
      </c>
      <c r="G112" s="3" t="str">
        <f t="array" ref="G112">IFERROR(spl(C112),"")</f>
        <v/>
      </c>
    </row>
    <row r="113" spans="5:7" x14ac:dyDescent="0.3">
      <c r="E113" s="3" t="str">
        <f t="shared" si="0"/>
        <v/>
      </c>
      <c r="G113" s="3" t="str">
        <f t="array" ref="G113">IFERROR(spl(C113),"")</f>
        <v/>
      </c>
    </row>
    <row r="114" spans="5:7" x14ac:dyDescent="0.3">
      <c r="E114" s="3" t="str">
        <f t="shared" si="0"/>
        <v/>
      </c>
      <c r="G114" s="3" t="str">
        <f t="array" ref="G114">IFERROR(spl(C114),"")</f>
        <v/>
      </c>
    </row>
    <row r="115" spans="5:7" x14ac:dyDescent="0.3">
      <c r="E115" s="3" t="str">
        <f t="shared" si="0"/>
        <v/>
      </c>
      <c r="G115" s="3" t="str">
        <f t="array" ref="G115">IFERROR(spl(C115),"")</f>
        <v/>
      </c>
    </row>
    <row r="116" spans="5:7" x14ac:dyDescent="0.3">
      <c r="E116" s="3" t="str">
        <f t="shared" si="0"/>
        <v/>
      </c>
      <c r="G116" s="3" t="str">
        <f t="array" ref="G116">IFERROR(spl(C116),"")</f>
        <v/>
      </c>
    </row>
    <row r="117" spans="5:7" x14ac:dyDescent="0.3">
      <c r="E117" s="3" t="str">
        <f t="shared" si="0"/>
        <v/>
      </c>
      <c r="G117" s="3" t="str">
        <f t="array" ref="G117">IFERROR(spl(C117),"")</f>
        <v/>
      </c>
    </row>
    <row r="118" spans="5:7" x14ac:dyDescent="0.3">
      <c r="E118" s="3" t="str">
        <f t="shared" si="0"/>
        <v/>
      </c>
      <c r="G118" s="3" t="str">
        <f t="array" ref="G118">IFERROR(spl(C118),"")</f>
        <v/>
      </c>
    </row>
    <row r="119" spans="5:7" x14ac:dyDescent="0.3">
      <c r="E119" s="3" t="str">
        <f t="shared" si="0"/>
        <v/>
      </c>
      <c r="G119" s="3" t="str">
        <f t="array" ref="G119">IFERROR(spl(C119),"")</f>
        <v/>
      </c>
    </row>
    <row r="120" spans="5:7" x14ac:dyDescent="0.3">
      <c r="E120" s="3" t="str">
        <f t="shared" si="0"/>
        <v/>
      </c>
      <c r="G120" s="3" t="str">
        <f t="array" ref="G120">IFERROR(spl(C120),"")</f>
        <v/>
      </c>
    </row>
    <row r="121" spans="5:7" x14ac:dyDescent="0.3">
      <c r="E121" s="3" t="str">
        <f t="shared" si="0"/>
        <v/>
      </c>
      <c r="G121" s="3" t="str">
        <f t="array" ref="G121">IFERROR(spl(C121),"")</f>
        <v/>
      </c>
    </row>
    <row r="122" spans="5:7" x14ac:dyDescent="0.3">
      <c r="E122" s="3" t="str">
        <f t="shared" si="0"/>
        <v/>
      </c>
      <c r="G122" s="3" t="str">
        <f t="array" ref="G122">IFERROR(spl(C122),"")</f>
        <v/>
      </c>
    </row>
    <row r="123" spans="5:7" x14ac:dyDescent="0.3">
      <c r="E123" s="3" t="str">
        <f t="shared" si="0"/>
        <v/>
      </c>
      <c r="G123" s="3" t="str">
        <f t="array" ref="G123">IFERROR(spl(C123),"")</f>
        <v/>
      </c>
    </row>
    <row r="124" spans="5:7" x14ac:dyDescent="0.3">
      <c r="E124" s="3" t="str">
        <f t="shared" si="0"/>
        <v/>
      </c>
      <c r="G124" s="3" t="str">
        <f t="array" ref="G124">IFERROR(spl(C124),"")</f>
        <v/>
      </c>
    </row>
    <row r="125" spans="5:7" x14ac:dyDescent="0.3">
      <c r="E125" s="3" t="str">
        <f t="shared" si="0"/>
        <v/>
      </c>
      <c r="G125" s="3" t="str">
        <f t="array" ref="G125">IFERROR(spl(C125),"")</f>
        <v/>
      </c>
    </row>
    <row r="126" spans="5:7" x14ac:dyDescent="0.3">
      <c r="E126" s="3" t="str">
        <f t="shared" si="0"/>
        <v/>
      </c>
      <c r="G126" s="3" t="str">
        <f t="array" ref="G126">IFERROR(spl(C126),"")</f>
        <v/>
      </c>
    </row>
    <row r="127" spans="5:7" x14ac:dyDescent="0.3">
      <c r="E127" s="3" t="str">
        <f t="shared" si="0"/>
        <v/>
      </c>
      <c r="G127" s="3" t="str">
        <f t="array" ref="G127">IFERROR(spl(C127),"")</f>
        <v/>
      </c>
    </row>
    <row r="128" spans="5:7" x14ac:dyDescent="0.3">
      <c r="E128" s="3" t="str">
        <f t="shared" si="0"/>
        <v/>
      </c>
      <c r="G128" s="3" t="str">
        <f t="array" ref="G128">IFERROR(spl(C128),"")</f>
        <v/>
      </c>
    </row>
    <row r="129" spans="5:7" x14ac:dyDescent="0.3">
      <c r="E129" s="3" t="str">
        <f t="shared" si="0"/>
        <v/>
      </c>
      <c r="G129" s="3" t="str">
        <f t="array" ref="G129">IFERROR(spl(C129),"")</f>
        <v/>
      </c>
    </row>
    <row r="130" spans="5:7" x14ac:dyDescent="0.3">
      <c r="E130" s="3" t="str">
        <f t="shared" si="0"/>
        <v/>
      </c>
      <c r="G130" s="3" t="str">
        <f t="array" ref="G130">IFERROR(spl(C130),"")</f>
        <v/>
      </c>
    </row>
    <row r="131" spans="5:7" x14ac:dyDescent="0.3">
      <c r="E131" s="3" t="str">
        <f t="shared" si="0"/>
        <v/>
      </c>
      <c r="G131" s="3" t="str">
        <f t="array" ref="G131">IFERROR(spl(C131),"")</f>
        <v/>
      </c>
    </row>
    <row r="132" spans="5:7" x14ac:dyDescent="0.3">
      <c r="E132" s="3" t="str">
        <f t="shared" si="0"/>
        <v/>
      </c>
      <c r="G132" s="3" t="str">
        <f t="array" ref="G132">IFERROR(spl(C132),"")</f>
        <v/>
      </c>
    </row>
    <row r="133" spans="5:7" x14ac:dyDescent="0.3">
      <c r="E133" s="3" t="str">
        <f t="shared" si="0"/>
        <v/>
      </c>
      <c r="G133" s="3" t="str">
        <f t="array" ref="G133">IFERROR(spl(C133),"")</f>
        <v/>
      </c>
    </row>
    <row r="134" spans="5:7" x14ac:dyDescent="0.3">
      <c r="E134" s="3" t="str">
        <f t="shared" si="0"/>
        <v/>
      </c>
      <c r="G134" s="3" t="str">
        <f t="array" ref="G134">IFERROR(spl(C134),"")</f>
        <v/>
      </c>
    </row>
    <row r="135" spans="5:7" x14ac:dyDescent="0.3">
      <c r="E135" s="3" t="str">
        <f t="shared" si="0"/>
        <v/>
      </c>
      <c r="G135" s="3" t="str">
        <f t="array" ref="G135">IFERROR(spl(C135),"")</f>
        <v/>
      </c>
    </row>
    <row r="136" spans="5:7" x14ac:dyDescent="0.3">
      <c r="G136" s="3" t="str">
        <f t="array" ref="G136">IFERROR(spl(C136),"")</f>
        <v/>
      </c>
    </row>
    <row r="137" spans="5:7" x14ac:dyDescent="0.3">
      <c r="G137" s="3" t="str">
        <f t="array" ref="G137">IFERROR(spl(C137),"")</f>
        <v/>
      </c>
    </row>
    <row r="138" spans="5:7" x14ac:dyDescent="0.3">
      <c r="G138" s="3" t="str">
        <f t="array" ref="G138">IFERROR(spl(C138),"")</f>
        <v/>
      </c>
    </row>
    <row r="139" spans="5:7" x14ac:dyDescent="0.3">
      <c r="G139" s="3" t="str">
        <f t="array" ref="G139">IFERROR(spl(C139),"")</f>
        <v/>
      </c>
    </row>
    <row r="140" spans="5:7" x14ac:dyDescent="0.3">
      <c r="G140" s="3" t="str">
        <f t="array" ref="G140">IFERROR(spl(C140),"")</f>
        <v/>
      </c>
    </row>
    <row r="141" spans="5:7" x14ac:dyDescent="0.3">
      <c r="G141" s="3" t="str">
        <f t="array" ref="G141">IFERROR(spl(C141),"")</f>
        <v/>
      </c>
    </row>
  </sheetData>
  <sortState ref="A2:F135">
    <sortCondition ref="B2"/>
  </sortState>
  <phoneticPr fontId="1" type="noConversion"/>
  <conditionalFormatting sqref="A1:F1048576">
    <cfRule type="notContainsBlanks" dxfId="17" priority="3">
      <formula>LEN(TRIM(A1))&gt;0</formula>
    </cfRule>
  </conditionalFormatting>
  <conditionalFormatting sqref="A2:F10000">
    <cfRule type="expression" dxfId="16" priority="1">
      <formula>AND($A2=$K$2,$B2="서팀")</formula>
    </cfRule>
    <cfRule type="expression" dxfId="15" priority="2">
      <formula>AND($A2=$K$1,$B2="동팀")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97" r:id="rId4" name="CommandButton1">
          <controlPr defaultSize="0" autoLine="0" r:id="rId5">
            <anchor moveWithCells="1">
              <from>
                <xdr:col>6</xdr:col>
                <xdr:colOff>228600</xdr:colOff>
                <xdr:row>0</xdr:row>
                <xdr:rowOff>142875</xdr:rowOff>
              </from>
              <to>
                <xdr:col>8</xdr:col>
                <xdr:colOff>266700</xdr:colOff>
                <xdr:row>2</xdr:row>
                <xdr:rowOff>142875</xdr:rowOff>
              </to>
            </anchor>
          </controlPr>
        </control>
      </mc:Choice>
      <mc:Fallback>
        <control shapeId="209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50"/>
  <sheetViews>
    <sheetView showGridLines="0" zoomScaleNormal="100" workbookViewId="0">
      <selection activeCell="J22" sqref="J22"/>
    </sheetView>
  </sheetViews>
  <sheetFormatPr defaultColWidth="8.75" defaultRowHeight="16.5" x14ac:dyDescent="0.3"/>
  <cols>
    <col min="1" max="1" width="8.75" style="3"/>
    <col min="2" max="2" width="11" style="3" bestFit="1" customWidth="1"/>
    <col min="3" max="5" width="11.5" style="3" customWidth="1"/>
    <col min="6" max="6" width="10.375" style="3" customWidth="1"/>
    <col min="7" max="16384" width="8.75" style="3"/>
  </cols>
  <sheetData>
    <row r="1" spans="1:9" x14ac:dyDescent="0.3">
      <c r="A1" s="2" t="s">
        <v>1</v>
      </c>
      <c r="B1" s="2" t="s">
        <v>79</v>
      </c>
      <c r="C1" s="2" t="s">
        <v>80</v>
      </c>
      <c r="D1" s="2" t="s">
        <v>81</v>
      </c>
      <c r="E1" s="2" t="s">
        <v>82</v>
      </c>
      <c r="H1" s="3">
        <v>4</v>
      </c>
      <c r="I1" s="3">
        <f t="array" ref="I1">SUMPRODUCT((H1=참가선수!$B$2:$B$10000)*참가선수!$A$2:$A$10000)</f>
        <v>2</v>
      </c>
    </row>
    <row r="2" spans="1:9" x14ac:dyDescent="0.3">
      <c r="A2" s="3">
        <v>1</v>
      </c>
      <c r="B2" s="3" t="s">
        <v>91</v>
      </c>
      <c r="C2" s="3">
        <v>60</v>
      </c>
      <c r="D2" s="3">
        <v>20</v>
      </c>
      <c r="E2" s="3">
        <v>30</v>
      </c>
      <c r="F2" s="3" t="str">
        <f>B2</f>
        <v>피구</v>
      </c>
    </row>
    <row r="3" spans="1:9" x14ac:dyDescent="0.3">
      <c r="A3" s="3">
        <v>2</v>
      </c>
      <c r="B3" s="3" t="s">
        <v>92</v>
      </c>
      <c r="C3" s="3">
        <v>60</v>
      </c>
      <c r="D3" s="3">
        <v>9</v>
      </c>
      <c r="E3" s="3">
        <v>30</v>
      </c>
      <c r="F3" s="3" t="str">
        <f t="shared" ref="F3:F50" si="0">B3</f>
        <v>발야구</v>
      </c>
    </row>
    <row r="4" spans="1:9" x14ac:dyDescent="0.3">
      <c r="A4" s="3">
        <v>3</v>
      </c>
      <c r="B4" s="3" t="s">
        <v>93</v>
      </c>
      <c r="C4" s="3">
        <v>60</v>
      </c>
      <c r="D4" s="3">
        <v>6</v>
      </c>
      <c r="E4" s="3">
        <v>30</v>
      </c>
      <c r="F4" s="3" t="str">
        <f t="shared" si="0"/>
        <v>농구</v>
      </c>
    </row>
    <row r="5" spans="1:9" x14ac:dyDescent="0.3">
      <c r="A5" s="3">
        <v>4</v>
      </c>
      <c r="B5" s="3" t="s">
        <v>94</v>
      </c>
      <c r="C5" s="3">
        <v>20</v>
      </c>
      <c r="D5" s="3">
        <v>4</v>
      </c>
      <c r="E5" s="3">
        <v>20</v>
      </c>
      <c r="F5" s="3" t="str">
        <f t="shared" si="0"/>
        <v>계주</v>
      </c>
    </row>
    <row r="6" spans="1:9" x14ac:dyDescent="0.3">
      <c r="A6" s="3">
        <v>5</v>
      </c>
      <c r="B6" s="3" t="s">
        <v>95</v>
      </c>
      <c r="C6" s="3">
        <v>20</v>
      </c>
      <c r="D6" s="3">
        <v>20</v>
      </c>
      <c r="E6" s="3">
        <v>10</v>
      </c>
      <c r="F6" s="3" t="str">
        <f t="shared" si="0"/>
        <v>줄다리기</v>
      </c>
    </row>
    <row r="7" spans="1:9" x14ac:dyDescent="0.3">
      <c r="A7" s="3">
        <v>6</v>
      </c>
      <c r="B7" s="3" t="s">
        <v>96</v>
      </c>
      <c r="C7" s="3">
        <v>60</v>
      </c>
      <c r="D7" s="3" t="s">
        <v>98</v>
      </c>
      <c r="E7" s="3">
        <v>20</v>
      </c>
      <c r="F7" s="3" t="str">
        <f t="shared" si="0"/>
        <v>축구</v>
      </c>
    </row>
    <row r="8" spans="1:9" x14ac:dyDescent="0.3">
      <c r="A8" s="3">
        <v>7</v>
      </c>
      <c r="B8" s="3" t="s">
        <v>97</v>
      </c>
      <c r="C8" s="3">
        <v>10</v>
      </c>
      <c r="D8" s="3" t="s">
        <v>98</v>
      </c>
      <c r="E8" s="3">
        <v>50</v>
      </c>
      <c r="F8" s="3" t="str">
        <f t="shared" si="0"/>
        <v>응원전</v>
      </c>
    </row>
    <row r="9" spans="1:9" x14ac:dyDescent="0.3">
      <c r="A9" s="3">
        <v>8</v>
      </c>
      <c r="B9" s="3" t="s">
        <v>99</v>
      </c>
      <c r="C9" s="3">
        <v>30</v>
      </c>
      <c r="D9" s="3">
        <v>5</v>
      </c>
      <c r="E9" s="3">
        <v>10</v>
      </c>
      <c r="F9" s="3" t="str">
        <f t="shared" si="0"/>
        <v>팔씨름</v>
      </c>
    </row>
    <row r="10" spans="1:9" x14ac:dyDescent="0.3">
      <c r="A10" s="3">
        <v>9</v>
      </c>
      <c r="B10" s="3" t="s">
        <v>100</v>
      </c>
      <c r="C10" s="3">
        <v>60</v>
      </c>
      <c r="D10" s="3">
        <v>4</v>
      </c>
      <c r="E10" s="3">
        <v>30</v>
      </c>
      <c r="F10" s="3" t="str">
        <f t="shared" si="0"/>
        <v>족구</v>
      </c>
    </row>
    <row r="11" spans="1:9" x14ac:dyDescent="0.3">
      <c r="A11" s="3">
        <v>10</v>
      </c>
      <c r="B11" s="3" t="s">
        <v>101</v>
      </c>
      <c r="C11" s="3">
        <v>60</v>
      </c>
      <c r="D11" s="3">
        <v>6</v>
      </c>
      <c r="E11" s="3">
        <v>30</v>
      </c>
      <c r="F11" s="3" t="str">
        <f t="shared" si="0"/>
        <v>배구</v>
      </c>
    </row>
    <row r="12" spans="1:9" x14ac:dyDescent="0.3">
      <c r="A12" s="3">
        <v>11</v>
      </c>
      <c r="B12" s="3" t="s">
        <v>102</v>
      </c>
      <c r="C12" s="3">
        <v>30</v>
      </c>
      <c r="D12" s="3">
        <v>5</v>
      </c>
      <c r="E12" s="3">
        <v>5</v>
      </c>
      <c r="F12" s="3" t="str">
        <f t="shared" si="0"/>
        <v>씨름</v>
      </c>
    </row>
    <row r="13" spans="1:9" x14ac:dyDescent="0.3">
      <c r="A13" s="3">
        <v>12</v>
      </c>
      <c r="B13" s="3" t="s">
        <v>103</v>
      </c>
      <c r="C13" s="3">
        <v>60</v>
      </c>
      <c r="D13" s="3">
        <v>5</v>
      </c>
      <c r="E13" s="3">
        <v>10</v>
      </c>
      <c r="F13" s="3" t="str">
        <f t="shared" si="0"/>
        <v>탁구</v>
      </c>
    </row>
    <row r="14" spans="1:9" x14ac:dyDescent="0.3">
      <c r="A14" s="3">
        <v>13</v>
      </c>
      <c r="B14" s="3" t="s">
        <v>104</v>
      </c>
      <c r="C14" s="3">
        <v>60</v>
      </c>
      <c r="D14" s="3">
        <v>5</v>
      </c>
      <c r="E14" s="3">
        <v>10</v>
      </c>
      <c r="F14" s="3" t="str">
        <f t="shared" si="0"/>
        <v>배드민턴</v>
      </c>
    </row>
    <row r="15" spans="1:9" x14ac:dyDescent="0.3">
      <c r="A15" s="3">
        <v>14</v>
      </c>
      <c r="B15" s="3" t="s">
        <v>105</v>
      </c>
      <c r="C15" s="3">
        <v>60</v>
      </c>
      <c r="D15" s="3">
        <v>6</v>
      </c>
      <c r="E15" s="3">
        <v>30</v>
      </c>
      <c r="F15" s="3" t="str">
        <f t="shared" si="0"/>
        <v>핸드볼</v>
      </c>
    </row>
    <row r="16" spans="1:9" x14ac:dyDescent="0.3">
      <c r="A16" s="3">
        <v>15</v>
      </c>
      <c r="B16" s="3" t="s">
        <v>106</v>
      </c>
      <c r="C16" s="3">
        <v>10</v>
      </c>
      <c r="D16" s="3" t="s">
        <v>98</v>
      </c>
      <c r="E16" s="3">
        <v>15</v>
      </c>
      <c r="F16" s="3" t="str">
        <f t="shared" si="0"/>
        <v>카드뒤집기</v>
      </c>
    </row>
    <row r="17" spans="1:6" x14ac:dyDescent="0.3">
      <c r="A17" s="3">
        <v>16</v>
      </c>
      <c r="B17" s="3" t="s">
        <v>107</v>
      </c>
      <c r="C17" s="3">
        <v>20</v>
      </c>
      <c r="D17" s="3">
        <v>5</v>
      </c>
      <c r="E17" s="3">
        <v>10</v>
      </c>
      <c r="F17" s="3" t="str">
        <f t="shared" si="0"/>
        <v>제기차기</v>
      </c>
    </row>
    <row r="18" spans="1:6" x14ac:dyDescent="0.3">
      <c r="A18" s="3">
        <v>17</v>
      </c>
      <c r="B18" s="3" t="s">
        <v>108</v>
      </c>
      <c r="C18" s="3">
        <v>20</v>
      </c>
      <c r="D18" s="3">
        <v>5</v>
      </c>
      <c r="E18" s="3">
        <v>10</v>
      </c>
      <c r="F18" s="3" t="str">
        <f t="shared" si="0"/>
        <v>닭싸움</v>
      </c>
    </row>
    <row r="19" spans="1:6" x14ac:dyDescent="0.3">
      <c r="A19" s="3">
        <v>18</v>
      </c>
      <c r="B19" s="3" t="s">
        <v>109</v>
      </c>
      <c r="C19" s="3">
        <v>10</v>
      </c>
      <c r="D19" s="3" t="s">
        <v>98</v>
      </c>
      <c r="E19" s="3">
        <v>5</v>
      </c>
      <c r="F19" s="3" t="str">
        <f t="shared" si="0"/>
        <v>가위바위보</v>
      </c>
    </row>
    <row r="20" spans="1:6" x14ac:dyDescent="0.3">
      <c r="A20" s="3">
        <v>19</v>
      </c>
      <c r="B20" s="3" t="s">
        <v>110</v>
      </c>
      <c r="C20" s="3">
        <v>60</v>
      </c>
      <c r="D20" s="3">
        <v>11</v>
      </c>
      <c r="E20" s="3">
        <v>30</v>
      </c>
      <c r="F20" s="3" t="str">
        <f t="shared" si="0"/>
        <v>야구</v>
      </c>
    </row>
    <row r="21" spans="1:6" x14ac:dyDescent="0.3">
      <c r="F21" s="3">
        <f t="shared" si="0"/>
        <v>0</v>
      </c>
    </row>
    <row r="22" spans="1:6" x14ac:dyDescent="0.3">
      <c r="F22" s="3">
        <f t="shared" si="0"/>
        <v>0</v>
      </c>
    </row>
    <row r="23" spans="1:6" x14ac:dyDescent="0.3">
      <c r="F23" s="3">
        <f t="shared" si="0"/>
        <v>0</v>
      </c>
    </row>
    <row r="24" spans="1:6" x14ac:dyDescent="0.3">
      <c r="F24" s="3">
        <f t="shared" si="0"/>
        <v>0</v>
      </c>
    </row>
    <row r="25" spans="1:6" x14ac:dyDescent="0.3">
      <c r="F25" s="3">
        <f t="shared" si="0"/>
        <v>0</v>
      </c>
    </row>
    <row r="26" spans="1:6" x14ac:dyDescent="0.3">
      <c r="F26" s="3">
        <f t="shared" si="0"/>
        <v>0</v>
      </c>
    </row>
    <row r="27" spans="1:6" x14ac:dyDescent="0.3">
      <c r="F27" s="3">
        <f t="shared" si="0"/>
        <v>0</v>
      </c>
    </row>
    <row r="28" spans="1:6" x14ac:dyDescent="0.3">
      <c r="F28" s="3">
        <f t="shared" si="0"/>
        <v>0</v>
      </c>
    </row>
    <row r="29" spans="1:6" x14ac:dyDescent="0.3">
      <c r="F29" s="3">
        <f t="shared" si="0"/>
        <v>0</v>
      </c>
    </row>
    <row r="30" spans="1:6" x14ac:dyDescent="0.3">
      <c r="F30" s="3">
        <f t="shared" si="0"/>
        <v>0</v>
      </c>
    </row>
    <row r="31" spans="1:6" x14ac:dyDescent="0.3">
      <c r="F31" s="3">
        <f t="shared" si="0"/>
        <v>0</v>
      </c>
    </row>
    <row r="32" spans="1:6" x14ac:dyDescent="0.3">
      <c r="F32" s="3">
        <f t="shared" si="0"/>
        <v>0</v>
      </c>
    </row>
    <row r="33" spans="6:6" x14ac:dyDescent="0.3">
      <c r="F33" s="3">
        <f t="shared" si="0"/>
        <v>0</v>
      </c>
    </row>
    <row r="34" spans="6:6" x14ac:dyDescent="0.3">
      <c r="F34" s="3">
        <f t="shared" si="0"/>
        <v>0</v>
      </c>
    </row>
    <row r="35" spans="6:6" x14ac:dyDescent="0.3">
      <c r="F35" s="3">
        <f t="shared" si="0"/>
        <v>0</v>
      </c>
    </row>
    <row r="36" spans="6:6" x14ac:dyDescent="0.3">
      <c r="F36" s="3">
        <f t="shared" si="0"/>
        <v>0</v>
      </c>
    </row>
    <row r="37" spans="6:6" x14ac:dyDescent="0.3">
      <c r="F37" s="3">
        <f t="shared" si="0"/>
        <v>0</v>
      </c>
    </row>
    <row r="38" spans="6:6" x14ac:dyDescent="0.3">
      <c r="F38" s="3">
        <f t="shared" si="0"/>
        <v>0</v>
      </c>
    </row>
    <row r="39" spans="6:6" x14ac:dyDescent="0.3">
      <c r="F39" s="3">
        <f t="shared" si="0"/>
        <v>0</v>
      </c>
    </row>
    <row r="40" spans="6:6" x14ac:dyDescent="0.3">
      <c r="F40" s="3">
        <f t="shared" si="0"/>
        <v>0</v>
      </c>
    </row>
    <row r="41" spans="6:6" x14ac:dyDescent="0.3">
      <c r="F41" s="3">
        <f t="shared" si="0"/>
        <v>0</v>
      </c>
    </row>
    <row r="42" spans="6:6" x14ac:dyDescent="0.3">
      <c r="F42" s="3">
        <f t="shared" si="0"/>
        <v>0</v>
      </c>
    </row>
    <row r="43" spans="6:6" x14ac:dyDescent="0.3">
      <c r="F43" s="3">
        <f t="shared" si="0"/>
        <v>0</v>
      </c>
    </row>
    <row r="44" spans="6:6" x14ac:dyDescent="0.3">
      <c r="F44" s="3">
        <f t="shared" si="0"/>
        <v>0</v>
      </c>
    </row>
    <row r="45" spans="6:6" x14ac:dyDescent="0.3">
      <c r="F45" s="3">
        <f t="shared" si="0"/>
        <v>0</v>
      </c>
    </row>
    <row r="46" spans="6:6" x14ac:dyDescent="0.3">
      <c r="F46" s="3">
        <f t="shared" si="0"/>
        <v>0</v>
      </c>
    </row>
    <row r="47" spans="6:6" x14ac:dyDescent="0.3">
      <c r="F47" s="3">
        <f t="shared" si="0"/>
        <v>0</v>
      </c>
    </row>
    <row r="48" spans="6:6" x14ac:dyDescent="0.3">
      <c r="F48" s="3">
        <f t="shared" si="0"/>
        <v>0</v>
      </c>
    </row>
    <row r="49" spans="6:6" x14ac:dyDescent="0.3">
      <c r="F49" s="3">
        <f t="shared" si="0"/>
        <v>0</v>
      </c>
    </row>
    <row r="50" spans="6:6" x14ac:dyDescent="0.3">
      <c r="F50" s="3">
        <f t="shared" si="0"/>
        <v>0</v>
      </c>
    </row>
  </sheetData>
  <phoneticPr fontId="1" type="noConversion"/>
  <conditionalFormatting sqref="A1:E1048576">
    <cfRule type="notContainsBlanks" dxfId="14" priority="1">
      <formula>LEN(TRIM(A1))&gt;0</formula>
    </cfRule>
    <cfRule type="notContainsBlanks" dxfId="13" priority="2">
      <formula>LEN(TRIM(A1))&gt;0</formula>
    </cfRule>
  </conditionalFormatting>
  <dataValidations count="4">
    <dataValidation type="custom" allowBlank="1" showInputMessage="1" showErrorMessage="1" errorTitle="소요시간 오류" error="소요시간은 10~60으로 5단위 숫자만 가능합니다." sqref="C22:C1048576">
      <formula1>AND(C22&gt;=10, C22&lt;=60, MOD(C22,5) = 0)</formula1>
    </dataValidation>
    <dataValidation type="custom" allowBlank="1" showInputMessage="1" showErrorMessage="1" errorTitle="승리포인트 오류" error="승리포인트는 5~50으로 5단위 숫자만 가능합니다." sqref="E21:E1048576">
      <formula1>AND(E21 &gt;= 5, E21&lt;=50, MOD(E21,5) = 0)</formula1>
    </dataValidation>
    <dataValidation type="custom" allowBlank="1" showInputMessage="1" showErrorMessage="1" errorTitle="소요시간 오류" error="소요시간은 10~60으로 5단위 숫자만 가능합니다." sqref="C2:C20 C21">
      <formula1>AND(C2&gt;=10, C2&lt;=60, MOD(C2,5) = 0)</formula1>
    </dataValidation>
    <dataValidation type="custom" allowBlank="1" showInputMessage="1" showErrorMessage="1" errorTitle="승리포인트 오류" error="승리포인트는 5~50으로 5단위 숫자만 가능합니다." sqref="E2:E20">
      <formula1>AND(E2 &gt;= 5, E2&lt;=50, MOD(E2,5) = 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5</xdr:col>
                <xdr:colOff>171450</xdr:colOff>
                <xdr:row>0</xdr:row>
                <xdr:rowOff>95250</xdr:rowOff>
              </from>
              <to>
                <xdr:col>7</xdr:col>
                <xdr:colOff>85725</xdr:colOff>
                <xdr:row>2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showInputMessage="1" showErrorMessage="1" errorTitle="참가인원수 오류" error="참가인원수는 전체와 1~총인원수로 입력하세요.">
          <x14:formula1>
            <xm:f>OR(AND(D2&gt;=1, D2&lt;=팀!H1),D2="전체")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7"/>
  <sheetViews>
    <sheetView showGridLines="0" zoomScaleNormal="100" workbookViewId="0">
      <selection activeCell="G4" sqref="G4"/>
    </sheetView>
  </sheetViews>
  <sheetFormatPr defaultRowHeight="16.5" x14ac:dyDescent="0.3"/>
  <cols>
    <col min="1" max="2" width="9" style="3"/>
    <col min="3" max="3" width="43.125" style="3" customWidth="1"/>
    <col min="4" max="4" width="43" style="3" customWidth="1"/>
    <col min="5" max="5" width="10.75" style="1" customWidth="1"/>
    <col min="6" max="16384" width="9" style="1"/>
  </cols>
  <sheetData>
    <row r="1" spans="1:6" x14ac:dyDescent="0.3">
      <c r="A1" s="2" t="s">
        <v>1</v>
      </c>
      <c r="B1" s="2" t="s">
        <v>111</v>
      </c>
      <c r="C1" s="2" t="s">
        <v>83</v>
      </c>
      <c r="D1" s="2" t="s">
        <v>84</v>
      </c>
      <c r="E1" s="3" t="s">
        <v>141</v>
      </c>
      <c r="F1" s="8"/>
    </row>
    <row r="2" spans="1:6" x14ac:dyDescent="0.3">
      <c r="A2" s="3">
        <v>1</v>
      </c>
      <c r="B2" s="3">
        <v>1</v>
      </c>
      <c r="C2" s="3" t="s">
        <v>112</v>
      </c>
      <c r="D2" s="3" t="s">
        <v>112</v>
      </c>
      <c r="E2" s="3" t="str">
        <f>VLOOKUP(B2,종목!$A:$E,2,FALSE)</f>
        <v>피구</v>
      </c>
      <c r="F2" s="8"/>
    </row>
    <row r="3" spans="1:6" x14ac:dyDescent="0.3">
      <c r="A3" s="3">
        <v>2</v>
      </c>
      <c r="B3" s="3">
        <v>4</v>
      </c>
      <c r="C3" s="3" t="s">
        <v>113</v>
      </c>
      <c r="D3" s="3" t="s">
        <v>114</v>
      </c>
      <c r="E3" s="3" t="str">
        <f>VLOOKUP(B3,종목!$A:$E,2,FALSE)</f>
        <v>계주</v>
      </c>
      <c r="F3" s="8"/>
    </row>
    <row r="4" spans="1:6" x14ac:dyDescent="0.3">
      <c r="A4" s="3">
        <v>3</v>
      </c>
      <c r="B4" s="3">
        <v>3</v>
      </c>
      <c r="C4" s="3" t="s">
        <v>115</v>
      </c>
      <c r="D4" s="3" t="s">
        <v>116</v>
      </c>
      <c r="E4" s="3" t="str">
        <f>VLOOKUP(B4,종목!$A:$E,2,FALSE)</f>
        <v>농구</v>
      </c>
      <c r="F4" s="8"/>
    </row>
    <row r="5" spans="1:6" x14ac:dyDescent="0.3">
      <c r="A5" s="3">
        <v>4</v>
      </c>
      <c r="B5" s="3">
        <v>11</v>
      </c>
      <c r="C5" s="3" t="s">
        <v>130</v>
      </c>
      <c r="D5" s="3" t="s">
        <v>131</v>
      </c>
      <c r="E5" s="3" t="str">
        <f>VLOOKUP(B5,종목!$A:$E,2,FALSE)</f>
        <v>씨름</v>
      </c>
      <c r="F5" s="8"/>
    </row>
    <row r="6" spans="1:6" x14ac:dyDescent="0.3">
      <c r="A6" s="3">
        <v>5</v>
      </c>
      <c r="B6" s="3">
        <v>9</v>
      </c>
      <c r="C6" s="3" t="s">
        <v>117</v>
      </c>
      <c r="D6" s="3" t="s">
        <v>118</v>
      </c>
      <c r="E6" s="3" t="str">
        <f>VLOOKUP(B6,종목!$A:$E,2,FALSE)</f>
        <v>족구</v>
      </c>
      <c r="F6" s="8"/>
    </row>
    <row r="7" spans="1:6" x14ac:dyDescent="0.3">
      <c r="A7" s="3">
        <v>6</v>
      </c>
      <c r="B7" s="3">
        <v>15</v>
      </c>
      <c r="C7" s="3" t="s">
        <v>98</v>
      </c>
      <c r="D7" s="3" t="s">
        <v>98</v>
      </c>
      <c r="E7" s="3" t="str">
        <f>VLOOKUP(B7,종목!$A:$E,2,FALSE)</f>
        <v>카드뒤집기</v>
      </c>
      <c r="F7" s="8"/>
    </row>
    <row r="8" spans="1:6" x14ac:dyDescent="0.3">
      <c r="A8" s="3">
        <v>7</v>
      </c>
      <c r="B8" s="3">
        <v>19</v>
      </c>
      <c r="C8" s="3" t="s">
        <v>119</v>
      </c>
      <c r="D8" s="3" t="s">
        <v>120</v>
      </c>
      <c r="E8" s="3" t="str">
        <f>VLOOKUP(B8,종목!$A:$E,2,FALSE)</f>
        <v>야구</v>
      </c>
      <c r="F8" s="8"/>
    </row>
    <row r="9" spans="1:6" x14ac:dyDescent="0.3">
      <c r="A9" s="3">
        <v>8</v>
      </c>
      <c r="B9" s="3">
        <v>8</v>
      </c>
      <c r="C9" s="3" t="s">
        <v>121</v>
      </c>
      <c r="D9" s="3" t="s">
        <v>122</v>
      </c>
      <c r="E9" s="3" t="str">
        <f>VLOOKUP(B9,종목!$A:$E,2,FALSE)</f>
        <v>팔씨름</v>
      </c>
      <c r="F9" s="8"/>
    </row>
    <row r="10" spans="1:6" x14ac:dyDescent="0.3">
      <c r="A10" s="3">
        <v>9</v>
      </c>
      <c r="B10" s="3">
        <v>14</v>
      </c>
      <c r="C10" s="3" t="s">
        <v>123</v>
      </c>
      <c r="D10" s="3" t="s">
        <v>124</v>
      </c>
      <c r="E10" s="3" t="str">
        <f>VLOOKUP(B10,종목!$A:$E,2,FALSE)</f>
        <v>핸드볼</v>
      </c>
      <c r="F10" s="8"/>
    </row>
    <row r="11" spans="1:6" x14ac:dyDescent="0.3">
      <c r="A11" s="3">
        <v>10</v>
      </c>
      <c r="B11" s="3">
        <v>13</v>
      </c>
      <c r="C11" s="3" t="s">
        <v>125</v>
      </c>
      <c r="D11" s="3" t="s">
        <v>126</v>
      </c>
      <c r="E11" s="3" t="str">
        <f>VLOOKUP(B11,종목!$A:$E,2,FALSE)</f>
        <v>배드민턴</v>
      </c>
      <c r="F11" s="8"/>
    </row>
    <row r="12" spans="1:6" x14ac:dyDescent="0.3">
      <c r="A12" s="3">
        <v>11</v>
      </c>
      <c r="B12" s="3">
        <v>10</v>
      </c>
      <c r="C12" s="3" t="s">
        <v>127</v>
      </c>
      <c r="D12" s="3" t="s">
        <v>128</v>
      </c>
      <c r="E12" s="3" t="str">
        <f>VLOOKUP(B12,종목!$A:$E,2,FALSE)</f>
        <v>배구</v>
      </c>
      <c r="F12" s="8"/>
    </row>
    <row r="13" spans="1:6" x14ac:dyDescent="0.3">
      <c r="A13" s="3">
        <v>12</v>
      </c>
      <c r="B13" s="3">
        <v>2</v>
      </c>
      <c r="C13" s="3" t="s">
        <v>129</v>
      </c>
      <c r="D13" s="3" t="s">
        <v>129</v>
      </c>
      <c r="E13" s="3" t="str">
        <f>VLOOKUP(B13,종목!$A:$E,2,FALSE)</f>
        <v>발야구</v>
      </c>
      <c r="F13" s="8"/>
    </row>
    <row r="14" spans="1:6" ht="15" customHeight="1" x14ac:dyDescent="0.3">
      <c r="A14" s="3">
        <v>13</v>
      </c>
      <c r="B14" s="3">
        <v>20</v>
      </c>
      <c r="C14" s="3" t="s">
        <v>162</v>
      </c>
      <c r="D14" s="3" t="s">
        <v>163</v>
      </c>
      <c r="E14" s="3" t="str">
        <f>IFERROR(VLOOKUP(B14,종목!$A:$E,2,FALSE),"폐막")</f>
        <v>폐막</v>
      </c>
      <c r="F14" s="8"/>
    </row>
    <row r="15" spans="1:6" x14ac:dyDescent="0.3">
      <c r="E15" s="3" t="str">
        <f>IFERROR(VLOOKUP(B15,종목!$A:$E,2,FALSE),"폐막")</f>
        <v>폐막</v>
      </c>
      <c r="F15" s="8"/>
    </row>
    <row r="16" spans="1:6" x14ac:dyDescent="0.3">
      <c r="E16" s="3" t="str">
        <f>IFERROR(VLOOKUP(B16,종목!$A:$E,2,FALSE),"폐막")</f>
        <v>폐막</v>
      </c>
      <c r="F16" s="8"/>
    </row>
    <row r="17" spans="5:6" x14ac:dyDescent="0.3">
      <c r="E17" s="3" t="str">
        <f>IFERROR(VLOOKUP(B17,종목!$A:$E,2,FALSE),"폐막")</f>
        <v>폐막</v>
      </c>
      <c r="F17" s="8"/>
    </row>
    <row r="18" spans="5:6" x14ac:dyDescent="0.3">
      <c r="E18" s="3" t="str">
        <f>IFERROR(VLOOKUP(B18,종목!$A:$E,2,FALSE),"폐막")</f>
        <v>폐막</v>
      </c>
      <c r="F18" s="8"/>
    </row>
    <row r="19" spans="5:6" x14ac:dyDescent="0.3">
      <c r="E19" s="3" t="str">
        <f>IFERROR(VLOOKUP(B19,종목!$A:$E,2,FALSE),"폐막")</f>
        <v>폐막</v>
      </c>
      <c r="F19" s="8"/>
    </row>
    <row r="20" spans="5:6" x14ac:dyDescent="0.3">
      <c r="E20" s="3" t="str">
        <f>IFERROR(VLOOKUP(B20,종목!$A:$E,2,FALSE),"폐막")</f>
        <v>폐막</v>
      </c>
      <c r="F20" s="8"/>
    </row>
    <row r="21" spans="5:6" x14ac:dyDescent="0.3">
      <c r="E21" s="3" t="str">
        <f>IFERROR(VLOOKUP(B21,종목!$A:$E,2,FALSE),"폐막")</f>
        <v>폐막</v>
      </c>
      <c r="F21" s="8"/>
    </row>
    <row r="22" spans="5:6" x14ac:dyDescent="0.3">
      <c r="E22" s="3" t="str">
        <f>IFERROR(VLOOKUP(B22,종목!$A:$E,2,FALSE),"폐막")</f>
        <v>폐막</v>
      </c>
      <c r="F22" s="8"/>
    </row>
    <row r="23" spans="5:6" x14ac:dyDescent="0.3">
      <c r="E23" s="3" t="str">
        <f>IFERROR(VLOOKUP(B23,종목!$A:$E,2,FALSE),"폐막")</f>
        <v>폐막</v>
      </c>
      <c r="F23" s="8"/>
    </row>
    <row r="24" spans="5:6" x14ac:dyDescent="0.3">
      <c r="E24" s="3" t="str">
        <f>IFERROR(VLOOKUP(B24,종목!$A:$E,2,FALSE),"폐막")</f>
        <v>폐막</v>
      </c>
      <c r="F24" s="8"/>
    </row>
    <row r="25" spans="5:6" x14ac:dyDescent="0.3">
      <c r="E25" s="3" t="str">
        <f>IFERROR(VLOOKUP(B25,종목!$A:$E,2,FALSE),"폐막")</f>
        <v>폐막</v>
      </c>
      <c r="F25" s="8"/>
    </row>
    <row r="26" spans="5:6" x14ac:dyDescent="0.3">
      <c r="E26" s="3" t="str">
        <f>IFERROR(VLOOKUP(B26,종목!$A:$E,2,FALSE),"폐막")</f>
        <v>폐막</v>
      </c>
      <c r="F26" s="8"/>
    </row>
    <row r="27" spans="5:6" x14ac:dyDescent="0.3">
      <c r="E27" s="3" t="str">
        <f>IFERROR(VLOOKUP(B27,종목!$A:$E,2,FALSE),"폐막")</f>
        <v>폐막</v>
      </c>
      <c r="F27" s="8"/>
    </row>
    <row r="28" spans="5:6" x14ac:dyDescent="0.3">
      <c r="E28" s="3" t="str">
        <f>IFERROR(VLOOKUP(B28,종목!$A:$E,2,FALSE),"폐막")</f>
        <v>폐막</v>
      </c>
      <c r="F28" s="8"/>
    </row>
    <row r="29" spans="5:6" x14ac:dyDescent="0.3">
      <c r="E29" s="3" t="str">
        <f>IFERROR(VLOOKUP(B29,종목!$A:$E,2,FALSE),"폐막")</f>
        <v>폐막</v>
      </c>
      <c r="F29" s="8"/>
    </row>
    <row r="30" spans="5:6" x14ac:dyDescent="0.3">
      <c r="E30" s="3" t="str">
        <f>IFERROR(VLOOKUP(B30,종목!$A:$E,2,FALSE),"폐막")</f>
        <v>폐막</v>
      </c>
      <c r="F30" s="8"/>
    </row>
    <row r="31" spans="5:6" x14ac:dyDescent="0.3">
      <c r="E31" s="3" t="str">
        <f>IFERROR(VLOOKUP(B31,종목!$A:$E,2,FALSE),"폐막")</f>
        <v>폐막</v>
      </c>
      <c r="F31" s="8"/>
    </row>
    <row r="32" spans="5:6" x14ac:dyDescent="0.3">
      <c r="E32" s="3" t="str">
        <f>IFERROR(VLOOKUP(B32,종목!$A:$E,2,FALSE),"폐막")</f>
        <v>폐막</v>
      </c>
      <c r="F32" s="8"/>
    </row>
    <row r="33" spans="5:6" x14ac:dyDescent="0.3">
      <c r="E33" s="3" t="str">
        <f>IFERROR(VLOOKUP(B33,종목!$A:$E,2,FALSE),"폐막")</f>
        <v>폐막</v>
      </c>
      <c r="F33" s="8"/>
    </row>
    <row r="34" spans="5:6" x14ac:dyDescent="0.3">
      <c r="E34" s="3" t="str">
        <f>IFERROR(VLOOKUP(B34,종목!$A:$E,2,FALSE),"폐막")</f>
        <v>폐막</v>
      </c>
      <c r="F34" s="8"/>
    </row>
    <row r="35" spans="5:6" x14ac:dyDescent="0.3">
      <c r="E35" s="3" t="str">
        <f>IFERROR(VLOOKUP(B35,종목!$A:$E,2,FALSE),"폐막")</f>
        <v>폐막</v>
      </c>
      <c r="F35" s="8"/>
    </row>
    <row r="36" spans="5:6" x14ac:dyDescent="0.3">
      <c r="E36" s="8"/>
      <c r="F36" s="8"/>
    </row>
    <row r="37" spans="5:6" x14ac:dyDescent="0.3">
      <c r="E37" s="8"/>
      <c r="F37" s="8"/>
    </row>
  </sheetData>
  <phoneticPr fontId="1" type="noConversion"/>
  <conditionalFormatting sqref="A1:D1048576">
    <cfRule type="notContainsBlanks" dxfId="12" priority="1">
      <formula>LEN(TRIM(A1))&gt;0</formula>
    </cfRule>
  </conditionalFormatting>
  <pageMargins left="0.7" right="0.7" top="0.75" bottom="0.75" header="0.3" footer="0.3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4</xdr:col>
                <xdr:colOff>200025</xdr:colOff>
                <xdr:row>0</xdr:row>
                <xdr:rowOff>85725</xdr:rowOff>
              </from>
              <to>
                <xdr:col>6</xdr:col>
                <xdr:colOff>66675</xdr:colOff>
                <xdr:row>2</xdr:row>
                <xdr:rowOff>85725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40"/>
  <sheetViews>
    <sheetView showGridLines="0" zoomScaleNormal="100" workbookViewId="0"/>
  </sheetViews>
  <sheetFormatPr defaultRowHeight="16.5" x14ac:dyDescent="0.3"/>
  <cols>
    <col min="1" max="2" width="9" style="6"/>
    <col min="3" max="3" width="9" style="6" customWidth="1"/>
    <col min="4" max="18" width="9" style="6"/>
    <col min="19" max="19" width="10.375" style="9" bestFit="1" customWidth="1"/>
    <col min="20" max="21" width="11" style="9" bestFit="1" customWidth="1"/>
    <col min="22" max="22" width="10.375" style="9" bestFit="1" customWidth="1"/>
    <col min="23" max="16384" width="9" style="6"/>
  </cols>
  <sheetData>
    <row r="1" spans="1:24" x14ac:dyDescent="0.3">
      <c r="A1" s="6">
        <f>SUM(O3:O29)</f>
        <v>0</v>
      </c>
      <c r="B1" s="6">
        <f>SUM(P3:P29)</f>
        <v>0</v>
      </c>
      <c r="C1" s="6">
        <v>1</v>
      </c>
      <c r="D1" s="6">
        <f>IF(X2&lt;&gt;0,2,1)</f>
        <v>1</v>
      </c>
      <c r="S1" s="9" t="s">
        <v>145</v>
      </c>
      <c r="T1" s="9" t="s">
        <v>146</v>
      </c>
      <c r="U1" s="9" t="s">
        <v>147</v>
      </c>
      <c r="V1" s="9" t="s">
        <v>148</v>
      </c>
      <c r="X1" s="6">
        <f>COUNTIF(W:W,1)</f>
        <v>1</v>
      </c>
    </row>
    <row r="2" spans="1:24" x14ac:dyDescent="0.3">
      <c r="A2" s="6" t="str">
        <f>TEXT(A1,"000")</f>
        <v>000</v>
      </c>
      <c r="B2" s="6" t="str">
        <f>TEXT(B1,"000")</f>
        <v>000</v>
      </c>
      <c r="O2" s="6" t="s">
        <v>143</v>
      </c>
      <c r="P2" s="6" t="s">
        <v>144</v>
      </c>
      <c r="R2" s="6" t="s">
        <v>149</v>
      </c>
      <c r="S2" s="9">
        <f>TIME(9,0,0)</f>
        <v>0.375</v>
      </c>
      <c r="U2" s="9">
        <f>TIME(0,30,0)</f>
        <v>2.0833333333333332E-2</v>
      </c>
      <c r="V2" s="9">
        <f>SUM(S2:U2)</f>
        <v>0.39583333333333331</v>
      </c>
      <c r="W2" s="6">
        <v>1</v>
      </c>
      <c r="X2" s="6">
        <f>COUNTIF(W:W,2)</f>
        <v>0</v>
      </c>
    </row>
    <row r="3" spans="1:24" x14ac:dyDescent="0.3">
      <c r="A3" s="6">
        <f>LEFT(A2,1)+1</f>
        <v>1</v>
      </c>
      <c r="B3" s="6">
        <f>LEFT(B2,1)+1</f>
        <v>1</v>
      </c>
      <c r="E3" s="13" t="s">
        <v>142</v>
      </c>
      <c r="F3" s="13"/>
      <c r="G3" s="13"/>
      <c r="H3" s="13"/>
      <c r="I3" s="13"/>
      <c r="J3" s="13"/>
      <c r="K3" s="13"/>
      <c r="O3" s="6">
        <f>IF(OR(Q3="동",Q3="무"),VLOOKUP(R3,종목!B:E,4,FALSE),0)</f>
        <v>0</v>
      </c>
      <c r="P3" s="6">
        <f>IF(OR(Q3="서",Q3="무"),VLOOKUP(R3,종목!$B:$E,4,FALSE),0)</f>
        <v>0</v>
      </c>
      <c r="S3" s="9">
        <f>IFERROR(IF(R3="준비",TIME(9,0,0),V2),"")</f>
        <v>0.39583333333333331</v>
      </c>
      <c r="T3" s="9" t="str">
        <f>IFERROR(IF(OR(R3&lt;&gt;"준비",R3&lt;&gt;"개막",R3&lt;&gt;"폐막",R3&lt;&gt;"점심"),TIME(0,VLOOKUP(R3,종목!$B:$E,2,FALSE),0),""),"")</f>
        <v/>
      </c>
      <c r="U3" s="9" t="str">
        <f>IF(R3="점심",TIME(0,60,0),IF(R3="준비",TIME(0,30,0),IF(R3="폐막",TIME(0,30,0),"")))</f>
        <v/>
      </c>
      <c r="V3" s="9" t="str">
        <f>IFERROR(IF(R3&lt;&gt;"",SUM(S3:U3),NA()), "X")</f>
        <v>X</v>
      </c>
      <c r="W3" s="6" t="str">
        <f>IF(R3="준비",2,IF(R3&lt;&gt;"",W2,""))</f>
        <v/>
      </c>
    </row>
    <row r="4" spans="1:24" x14ac:dyDescent="0.3">
      <c r="A4" s="6">
        <f>MID(A2,2,1)+1</f>
        <v>1</v>
      </c>
      <c r="B4" s="6">
        <f>MID(B2,2,1)+1</f>
        <v>1</v>
      </c>
      <c r="E4" s="13"/>
      <c r="F4" s="13"/>
      <c r="G4" s="13"/>
      <c r="H4" s="13"/>
      <c r="I4" s="13"/>
      <c r="J4" s="13"/>
      <c r="K4" s="13"/>
      <c r="O4" s="6">
        <f>IF(OR(Q4="동",Q4="무"),VLOOKUP(R4,종목!B:E,4,FALSE),0)</f>
        <v>0</v>
      </c>
      <c r="P4" s="6">
        <f>IF(OR(Q4="서",Q4="무"),VLOOKUP(R4,종목!$B:$E,4,FALSE),0)</f>
        <v>0</v>
      </c>
      <c r="S4" s="9" t="str">
        <f t="shared" ref="S4:S27" si="0">IFERROR(IF(R4="준비",TIME(9,0,0),V3),"")</f>
        <v>X</v>
      </c>
      <c r="T4" s="9" t="str">
        <f>IFERROR(IF(OR(R4&lt;&gt;"준비",R4&lt;&gt;"개막",R4&lt;&gt;"폐막",R4&lt;&gt;"점심"),TIME(0,VLOOKUP(R4,종목!$B:$E,2,FALSE),0),""),"")</f>
        <v/>
      </c>
      <c r="U4" s="9" t="str">
        <f>IF(R4="점심",TIME(0,60,0),IF(R4="준비",TIME(0,30,0),IF(R4="폐막",TIME(0,30,0),"")))</f>
        <v/>
      </c>
      <c r="V4" s="9" t="str">
        <f t="shared" ref="V4:V27" si="1">IFERROR(IF(R4&lt;&gt;"",SUM(S4:U4),NA()), "X")</f>
        <v>X</v>
      </c>
      <c r="W4" s="6" t="str">
        <f t="shared" ref="W4:W27" si="2">IF(R4="준비",2,IF(R4&lt;&gt;"",W3,""))</f>
        <v/>
      </c>
    </row>
    <row r="5" spans="1:24" x14ac:dyDescent="0.3">
      <c r="A5" s="6">
        <f>RIGHT(A2,1)+1</f>
        <v>1</v>
      </c>
      <c r="B5" s="6">
        <f>RIGHT(B2,1)+1</f>
        <v>1</v>
      </c>
      <c r="E5" s="14"/>
      <c r="F5" s="14"/>
      <c r="G5" s="14"/>
      <c r="H5" s="14"/>
      <c r="I5" s="14"/>
      <c r="J5" s="14"/>
      <c r="K5" s="14"/>
      <c r="O5" s="6">
        <f>IF(OR(Q5="동",Q5="무"),VLOOKUP(R5,종목!B:E,4,FALSE),0)</f>
        <v>0</v>
      </c>
      <c r="P5" s="6">
        <f>IF(OR(Q5="서",Q5="무"),VLOOKUP(R5,종목!$B:$E,4,FALSE),0)</f>
        <v>0</v>
      </c>
      <c r="S5" s="9" t="str">
        <f t="shared" si="0"/>
        <v>X</v>
      </c>
      <c r="T5" s="9" t="str">
        <f>IFERROR(IF(OR(R5&lt;&gt;"준비",R5&lt;&gt;"개막",R5&lt;&gt;"폐막",R5&lt;&gt;"점심"),TIME(0,VLOOKUP(R5,종목!$B:$E,2,FALSE),0),""),"")</f>
        <v/>
      </c>
      <c r="U5" s="9" t="str">
        <f t="shared" ref="U5:U27" si="3">IF(R5="점심",TIME(0,60,0),IF(R5="준비",TIME(0,30,0),IF(R5="폐막",TIME(0,30,0),"")))</f>
        <v/>
      </c>
      <c r="V5" s="9" t="str">
        <f t="shared" si="1"/>
        <v>X</v>
      </c>
      <c r="W5" s="6" t="str">
        <f t="shared" si="2"/>
        <v/>
      </c>
    </row>
    <row r="6" spans="1:24" x14ac:dyDescent="0.3">
      <c r="E6" s="14"/>
      <c r="F6" s="14"/>
      <c r="G6" s="14"/>
      <c r="H6" s="14"/>
      <c r="I6" s="14"/>
      <c r="J6" s="14"/>
      <c r="K6" s="14"/>
      <c r="O6" s="6">
        <f>IF(OR(Q6="동",Q6="무"),VLOOKUP(R6,종목!B:E,4,FALSE),0)</f>
        <v>0</v>
      </c>
      <c r="P6" s="6">
        <f>IF(OR(Q6="서",Q6="무"),VLOOKUP(R6,종목!$B:$E,4,FALSE),0)</f>
        <v>0</v>
      </c>
      <c r="S6" s="9" t="str">
        <f t="shared" si="0"/>
        <v>X</v>
      </c>
      <c r="T6" s="9" t="str">
        <f>IFERROR(IF(OR(R6&lt;&gt;"준비",R6&lt;&gt;"개막",R6&lt;&gt;"폐막",R6&lt;&gt;"점심"),TIME(0,VLOOKUP(R6,종목!$B:$E,2,FALSE),0),""),"")</f>
        <v/>
      </c>
      <c r="U6" s="9" t="str">
        <f t="shared" si="3"/>
        <v/>
      </c>
      <c r="V6" s="9" t="str">
        <f t="shared" si="1"/>
        <v>X</v>
      </c>
      <c r="W6" s="6" t="str">
        <f t="shared" si="2"/>
        <v/>
      </c>
    </row>
    <row r="7" spans="1:24" x14ac:dyDescent="0.3">
      <c r="E7" s="14"/>
      <c r="F7" s="14"/>
      <c r="G7" s="14"/>
      <c r="H7" s="14"/>
      <c r="I7" s="14"/>
      <c r="J7" s="14"/>
      <c r="K7" s="14"/>
      <c r="O7" s="6">
        <f>IF(OR(Q7="동",Q7="무"),VLOOKUP(R7,종목!B:E,4,FALSE),0)</f>
        <v>0</v>
      </c>
      <c r="P7" s="6">
        <f>IF(OR(Q7="서",Q7="무"),VLOOKUP(R7,종목!$B:$E,4,FALSE),0)</f>
        <v>0</v>
      </c>
      <c r="S7" s="9" t="str">
        <f t="shared" si="0"/>
        <v>X</v>
      </c>
      <c r="T7" s="9" t="str">
        <f>IFERROR(IF(OR(R7&lt;&gt;"준비",R7&lt;&gt;"개막",R7&lt;&gt;"폐막",R7&lt;&gt;"점심"),TIME(0,VLOOKUP(R7,종목!$B:$E,2,FALSE),0),""),"")</f>
        <v/>
      </c>
      <c r="U7" s="9" t="str">
        <f t="shared" si="3"/>
        <v/>
      </c>
      <c r="V7" s="9" t="str">
        <f t="shared" si="1"/>
        <v>X</v>
      </c>
      <c r="W7" s="6" t="str">
        <f t="shared" si="2"/>
        <v/>
      </c>
    </row>
    <row r="8" spans="1:24" x14ac:dyDescent="0.3">
      <c r="E8" s="14"/>
      <c r="F8" s="14"/>
      <c r="G8" s="14"/>
      <c r="H8" s="14"/>
      <c r="I8" s="14"/>
      <c r="J8" s="14"/>
      <c r="K8" s="14"/>
      <c r="O8" s="6">
        <f>IF(OR(Q8="동",Q8="무"),VLOOKUP(R8,종목!B:E,4,FALSE),0)</f>
        <v>0</v>
      </c>
      <c r="P8" s="6">
        <f>IF(OR(Q8="서",Q8="무"),VLOOKUP(R8,종목!$B:$E,4,FALSE),0)</f>
        <v>0</v>
      </c>
      <c r="S8" s="9" t="str">
        <f t="shared" si="0"/>
        <v>X</v>
      </c>
      <c r="T8" s="9" t="str">
        <f>IFERROR(IF(OR(R8&lt;&gt;"준비",R8&lt;&gt;"개막",R8&lt;&gt;"폐막",R8&lt;&gt;"점심"),TIME(0,VLOOKUP(R8,종목!$B:$E,2,FALSE),0),""),"")</f>
        <v/>
      </c>
      <c r="U8" s="9" t="str">
        <f t="shared" si="3"/>
        <v/>
      </c>
      <c r="V8" s="9" t="str">
        <f t="shared" si="1"/>
        <v>X</v>
      </c>
      <c r="W8" s="6" t="str">
        <f t="shared" si="2"/>
        <v/>
      </c>
    </row>
    <row r="9" spans="1:24" x14ac:dyDescent="0.3">
      <c r="E9" s="14"/>
      <c r="F9" s="14"/>
      <c r="G9" s="14"/>
      <c r="H9" s="14"/>
      <c r="I9" s="14"/>
      <c r="J9" s="14"/>
      <c r="K9" s="14"/>
      <c r="O9" s="6">
        <f>IF(OR(Q9="동",Q9="무"),VLOOKUP(R9,종목!B:E,4,FALSE),0)</f>
        <v>0</v>
      </c>
      <c r="P9" s="6">
        <f>IF(OR(Q9="서",Q9="무"),VLOOKUP(R9,종목!$B:$E,4,FALSE),0)</f>
        <v>0</v>
      </c>
      <c r="S9" s="9" t="str">
        <f t="shared" si="0"/>
        <v>X</v>
      </c>
      <c r="T9" s="9" t="str">
        <f>IFERROR(IF(OR(R9&lt;&gt;"준비",R9&lt;&gt;"개막",R9&lt;&gt;"폐막",R9&lt;&gt;"점심"),TIME(0,VLOOKUP(R9,종목!$B:$E,2,FALSE),0),""),"")</f>
        <v/>
      </c>
      <c r="U9" s="9" t="str">
        <f t="shared" si="3"/>
        <v/>
      </c>
      <c r="V9" s="9" t="str">
        <f t="shared" si="1"/>
        <v>X</v>
      </c>
      <c r="W9" s="6" t="str">
        <f t="shared" si="2"/>
        <v/>
      </c>
    </row>
    <row r="10" spans="1:24" x14ac:dyDescent="0.3">
      <c r="A10" s="6">
        <v>10</v>
      </c>
      <c r="E10" s="14"/>
      <c r="F10" s="14"/>
      <c r="G10" s="14"/>
      <c r="H10" s="14"/>
      <c r="I10" s="14"/>
      <c r="J10" s="14"/>
      <c r="K10" s="14"/>
      <c r="M10" s="6" t="s">
        <v>150</v>
      </c>
      <c r="O10" s="6">
        <f>IF(OR(Q10="동",Q10="무"),VLOOKUP(R10,종목!B:E,4,FALSE),0)</f>
        <v>0</v>
      </c>
      <c r="P10" s="6">
        <f>IF(OR(Q10="서",Q10="무"),VLOOKUP(R10,종목!$B:$E,4,FALSE),0)</f>
        <v>0</v>
      </c>
      <c r="S10" s="9" t="str">
        <f t="shared" si="0"/>
        <v>X</v>
      </c>
      <c r="T10" s="9" t="str">
        <f>IFERROR(IF(OR(R10&lt;&gt;"준비",R10&lt;&gt;"개막",R10&lt;&gt;"폐막",R10&lt;&gt;"점심"),TIME(0,VLOOKUP(R10,종목!$B:$E,2,FALSE),0),""),"")</f>
        <v/>
      </c>
      <c r="U10" s="9" t="str">
        <f t="shared" si="3"/>
        <v/>
      </c>
      <c r="V10" s="9" t="str">
        <f t="shared" si="1"/>
        <v>X</v>
      </c>
      <c r="W10" s="6" t="str">
        <f t="shared" si="2"/>
        <v/>
      </c>
    </row>
    <row r="11" spans="1:24" x14ac:dyDescent="0.3">
      <c r="E11" s="14"/>
      <c r="F11" s="14"/>
      <c r="G11" s="14"/>
      <c r="H11" s="14"/>
      <c r="I11" s="14"/>
      <c r="J11" s="14"/>
      <c r="K11" s="14"/>
      <c r="O11" s="6">
        <f>IF(OR(Q11="동",Q11="무"),VLOOKUP(R11,종목!B:E,4,FALSE),0)</f>
        <v>0</v>
      </c>
      <c r="P11" s="6">
        <f>IF(OR(Q11="서",Q11="무"),VLOOKUP(R11,종목!$B:$E,4,FALSE),0)</f>
        <v>0</v>
      </c>
      <c r="S11" s="9" t="str">
        <f t="shared" si="0"/>
        <v>X</v>
      </c>
      <c r="T11" s="9" t="str">
        <f>IFERROR(IF(OR(R11&lt;&gt;"준비",R11&lt;&gt;"개막",R11&lt;&gt;"폐막",R11&lt;&gt;"점심"),TIME(0,VLOOKUP(R11,종목!$B:$E,2,FALSE),0),""),"")</f>
        <v/>
      </c>
      <c r="U11" s="9" t="str">
        <f t="shared" si="3"/>
        <v/>
      </c>
      <c r="V11" s="9" t="str">
        <f t="shared" si="1"/>
        <v>X</v>
      </c>
      <c r="W11" s="6" t="str">
        <f t="shared" si="2"/>
        <v/>
      </c>
    </row>
    <row r="12" spans="1:24" x14ac:dyDescent="0.3">
      <c r="E12" s="14"/>
      <c r="F12" s="14"/>
      <c r="G12" s="14"/>
      <c r="H12" s="14"/>
      <c r="I12" s="14"/>
      <c r="J12" s="14"/>
      <c r="K12" s="14"/>
      <c r="O12" s="6">
        <f>IF(OR(Q12="동",Q12="무"),VLOOKUP(R12,종목!B:E,4,FALSE),0)</f>
        <v>0</v>
      </c>
      <c r="P12" s="6">
        <f>IF(OR(Q12="서",Q12="무"),VLOOKUP(R12,종목!$B:$E,4,FALSE),0)</f>
        <v>0</v>
      </c>
      <c r="S12" s="9" t="str">
        <f t="shared" si="0"/>
        <v>X</v>
      </c>
      <c r="T12" s="9" t="str">
        <f>IFERROR(IF(OR(R12&lt;&gt;"준비",R12&lt;&gt;"개막",R12&lt;&gt;"폐막",R12&lt;&gt;"점심"),TIME(0,VLOOKUP(R12,종목!$B:$E,2,FALSE),0),""),"")</f>
        <v/>
      </c>
      <c r="U12" s="9" t="str">
        <f t="shared" si="3"/>
        <v/>
      </c>
      <c r="V12" s="9" t="str">
        <f t="shared" si="1"/>
        <v>X</v>
      </c>
      <c r="W12" s="6" t="str">
        <f t="shared" si="2"/>
        <v/>
      </c>
    </row>
    <row r="13" spans="1:24" x14ac:dyDescent="0.3">
      <c r="E13" s="14"/>
      <c r="F13" s="14"/>
      <c r="G13" s="14"/>
      <c r="H13" s="14"/>
      <c r="I13" s="14"/>
      <c r="J13" s="14"/>
      <c r="K13" s="14"/>
      <c r="O13" s="6">
        <f>IF(OR(Q13="동",Q13="무"),VLOOKUP(R13,종목!B:E,4,FALSE),0)</f>
        <v>0</v>
      </c>
      <c r="P13" s="6">
        <f>IF(OR(Q13="서",Q13="무"),VLOOKUP(R13,종목!$B:$E,4,FALSE),0)</f>
        <v>0</v>
      </c>
      <c r="S13" s="9" t="str">
        <f t="shared" si="0"/>
        <v>X</v>
      </c>
      <c r="T13" s="9" t="str">
        <f>IFERROR(IF(OR(R13&lt;&gt;"준비",R13&lt;&gt;"개막",R13&lt;&gt;"폐막",R13&lt;&gt;"점심"),TIME(0,VLOOKUP(R13,종목!$B:$E,2,FALSE),0),""),"")</f>
        <v/>
      </c>
      <c r="U13" s="9" t="str">
        <f t="shared" si="3"/>
        <v/>
      </c>
      <c r="V13" s="9" t="str">
        <f t="shared" si="1"/>
        <v>X</v>
      </c>
      <c r="W13" s="6" t="str">
        <f t="shared" si="2"/>
        <v/>
      </c>
    </row>
    <row r="14" spans="1:24" x14ac:dyDescent="0.3">
      <c r="E14" s="10"/>
      <c r="F14" s="10"/>
      <c r="G14" s="10"/>
      <c r="H14" s="10"/>
      <c r="I14" s="10"/>
      <c r="J14" s="10"/>
      <c r="K14" s="10"/>
      <c r="O14" s="6">
        <f>IF(OR(Q14="동",Q14="무"),VLOOKUP(R14,종목!B:E,4,FALSE),0)</f>
        <v>0</v>
      </c>
      <c r="P14" s="6">
        <f>IF(OR(Q14="서",Q14="무"),VLOOKUP(R14,종목!$B:$E,4,FALSE),0)</f>
        <v>0</v>
      </c>
      <c r="S14" s="9" t="str">
        <f t="shared" si="0"/>
        <v>X</v>
      </c>
      <c r="T14" s="9" t="str">
        <f>IFERROR(IF(OR(R14&lt;&gt;"준비",R14&lt;&gt;"개막",R14&lt;&gt;"폐막",R14&lt;&gt;"점심"),TIME(0,VLOOKUP(R14,종목!$B:$E,2,FALSE),0),""),"")</f>
        <v/>
      </c>
      <c r="U14" s="9" t="str">
        <f t="shared" si="3"/>
        <v/>
      </c>
      <c r="V14" s="9" t="str">
        <f t="shared" si="1"/>
        <v>X</v>
      </c>
      <c r="W14" s="6" t="str">
        <f t="shared" si="2"/>
        <v/>
      </c>
    </row>
    <row r="15" spans="1:24" x14ac:dyDescent="0.3">
      <c r="E15" s="10"/>
      <c r="F15" s="10"/>
      <c r="G15" s="10"/>
      <c r="H15" s="10"/>
      <c r="I15" s="10"/>
      <c r="J15" s="10"/>
      <c r="K15" s="10"/>
      <c r="O15" s="6">
        <f>IF(OR(Q15="동",Q15="무"),VLOOKUP(R15,종목!B:E,4,FALSE),0)</f>
        <v>0</v>
      </c>
      <c r="P15" s="6">
        <f>IF(OR(Q15="서",Q15="무"),VLOOKUP(R15,종목!$B:$E,4,FALSE),0)</f>
        <v>0</v>
      </c>
      <c r="S15" s="9" t="str">
        <f t="shared" si="0"/>
        <v>X</v>
      </c>
      <c r="T15" s="9" t="str">
        <f>IFERROR(IF(OR(R15&lt;&gt;"준비",R15&lt;&gt;"개막",R15&lt;&gt;"폐막",R15&lt;&gt;"점심"),TIME(0,VLOOKUP(R15,종목!$B:$E,2,FALSE),0),""),"")</f>
        <v/>
      </c>
      <c r="U15" s="9" t="str">
        <f t="shared" si="3"/>
        <v/>
      </c>
      <c r="V15" s="9" t="str">
        <f t="shared" si="1"/>
        <v>X</v>
      </c>
      <c r="W15" s="6" t="str">
        <f t="shared" si="2"/>
        <v/>
      </c>
    </row>
    <row r="16" spans="1:24" x14ac:dyDescent="0.3">
      <c r="O16" s="6">
        <f>IF(OR(Q16="동",Q16="무"),VLOOKUP(R16,종목!B:E,4,FALSE),0)</f>
        <v>0</v>
      </c>
      <c r="P16" s="6">
        <f>IF(OR(Q16="서",Q16="무"),VLOOKUP(R16,종목!$B:$E,4,FALSE),0)</f>
        <v>0</v>
      </c>
      <c r="S16" s="9" t="str">
        <f t="shared" si="0"/>
        <v>X</v>
      </c>
      <c r="T16" s="9" t="str">
        <f>IFERROR(IF(OR(R16&lt;&gt;"준비",R16&lt;&gt;"개막",R16&lt;&gt;"폐막",R16&lt;&gt;"점심"),TIME(0,VLOOKUP(R16,종목!$B:$E,2,FALSE),0),""),"")</f>
        <v/>
      </c>
      <c r="U16" s="9" t="str">
        <f t="shared" si="3"/>
        <v/>
      </c>
      <c r="V16" s="9" t="str">
        <f t="shared" si="1"/>
        <v>X</v>
      </c>
      <c r="W16" s="6" t="str">
        <f t="shared" si="2"/>
        <v/>
      </c>
    </row>
    <row r="17" spans="15:23" x14ac:dyDescent="0.3">
      <c r="O17" s="6">
        <f>IF(OR(Q17="동",Q17="무"),VLOOKUP(R17,종목!B:E,4,FALSE),0)</f>
        <v>0</v>
      </c>
      <c r="P17" s="6">
        <f>IF(OR(Q17="서",Q17="무"),VLOOKUP(R17,종목!$B:$E,4,FALSE),0)</f>
        <v>0</v>
      </c>
      <c r="S17" s="9" t="str">
        <f t="shared" si="0"/>
        <v>X</v>
      </c>
      <c r="T17" s="9" t="str">
        <f>IFERROR(IF(OR(R17&lt;&gt;"준비",R17&lt;&gt;"개막",R17&lt;&gt;"폐막",R17&lt;&gt;"점심"),TIME(0,VLOOKUP(R17,종목!$B:$E,2,FALSE),0),""),"")</f>
        <v/>
      </c>
      <c r="U17" s="9" t="str">
        <f t="shared" si="3"/>
        <v/>
      </c>
      <c r="V17" s="9" t="str">
        <f t="shared" si="1"/>
        <v>X</v>
      </c>
      <c r="W17" s="6" t="str">
        <f t="shared" si="2"/>
        <v/>
      </c>
    </row>
    <row r="18" spans="15:23" x14ac:dyDescent="0.3">
      <c r="O18" s="6">
        <f>IF(OR(Q18="동",Q18="무"),VLOOKUP(R18,종목!B:E,4,FALSE),0)</f>
        <v>0</v>
      </c>
      <c r="P18" s="6">
        <f>IF(OR(Q18="서",Q18="무"),VLOOKUP(R18,종목!$B:$E,4,FALSE),0)</f>
        <v>0</v>
      </c>
      <c r="S18" s="9" t="str">
        <f t="shared" si="0"/>
        <v>X</v>
      </c>
      <c r="T18" s="9" t="str">
        <f>IFERROR(IF(OR(R18&lt;&gt;"준비",R18&lt;&gt;"개막",R18&lt;&gt;"폐막",R18&lt;&gt;"점심"),TIME(0,VLOOKUP(R18,종목!$B:$E,2,FALSE),0),""),"")</f>
        <v/>
      </c>
      <c r="U18" s="9" t="str">
        <f t="shared" si="3"/>
        <v/>
      </c>
      <c r="V18" s="9" t="str">
        <f t="shared" si="1"/>
        <v>X</v>
      </c>
      <c r="W18" s="6" t="str">
        <f t="shared" si="2"/>
        <v/>
      </c>
    </row>
    <row r="19" spans="15:23" x14ac:dyDescent="0.3">
      <c r="O19" s="6">
        <f>IF(OR(Q19="동",Q19="무"),VLOOKUP(R19,종목!B:E,4,FALSE),0)</f>
        <v>0</v>
      </c>
      <c r="P19" s="6">
        <f>IF(OR(Q19="서",Q19="무"),VLOOKUP(R19,종목!$B:$E,4,FALSE),0)</f>
        <v>0</v>
      </c>
      <c r="S19" s="9" t="str">
        <f t="shared" si="0"/>
        <v>X</v>
      </c>
      <c r="T19" s="9" t="str">
        <f>IFERROR(IF(OR(R19&lt;&gt;"준비",R19&lt;&gt;"개막",R19&lt;&gt;"폐막",R19&lt;&gt;"점심"),TIME(0,VLOOKUP(R19,종목!$B:$E,2,FALSE),0),""),"")</f>
        <v/>
      </c>
      <c r="U19" s="9" t="str">
        <f t="shared" si="3"/>
        <v/>
      </c>
      <c r="V19" s="9" t="str">
        <f t="shared" si="1"/>
        <v>X</v>
      </c>
      <c r="W19" s="6" t="str">
        <f t="shared" si="2"/>
        <v/>
      </c>
    </row>
    <row r="20" spans="15:23" x14ac:dyDescent="0.3">
      <c r="O20" s="6">
        <f>IF(OR(Q20="동",Q20="무"),VLOOKUP(R20,종목!B:E,4,FALSE),0)</f>
        <v>0</v>
      </c>
      <c r="P20" s="6">
        <f>IF(OR(Q20="서",Q20="무"),VLOOKUP(R20,종목!$B:$E,4,FALSE),0)</f>
        <v>0</v>
      </c>
      <c r="S20" s="9" t="str">
        <f t="shared" si="0"/>
        <v>X</v>
      </c>
      <c r="T20" s="9" t="str">
        <f>IFERROR(IF(OR(R20&lt;&gt;"준비",R20&lt;&gt;"개막",R20&lt;&gt;"폐막",R20&lt;&gt;"점심"),TIME(0,VLOOKUP(R20,종목!$B:$E,2,FALSE),0),""),"")</f>
        <v/>
      </c>
      <c r="U20" s="9" t="str">
        <f t="shared" si="3"/>
        <v/>
      </c>
      <c r="V20" s="9" t="str">
        <f t="shared" si="1"/>
        <v>X</v>
      </c>
      <c r="W20" s="6" t="str">
        <f t="shared" si="2"/>
        <v/>
      </c>
    </row>
    <row r="21" spans="15:23" x14ac:dyDescent="0.3">
      <c r="O21" s="6">
        <f>IF(OR(Q21="동",Q21="무"),VLOOKUP(R21,종목!B:E,4,FALSE),0)</f>
        <v>0</v>
      </c>
      <c r="P21" s="6">
        <f>IF(OR(Q21="서",Q21="무"),VLOOKUP(R21,종목!$B:$E,4,FALSE),0)</f>
        <v>0</v>
      </c>
      <c r="S21" s="9" t="str">
        <f t="shared" si="0"/>
        <v>X</v>
      </c>
      <c r="T21" s="9" t="str">
        <f>IFERROR(IF(OR(R21&lt;&gt;"준비",R21&lt;&gt;"개막",R21&lt;&gt;"폐막",R21&lt;&gt;"점심"),TIME(0,VLOOKUP(R21,종목!$B:$E,2,FALSE),0),""),"")</f>
        <v/>
      </c>
      <c r="U21" s="9" t="str">
        <f t="shared" si="3"/>
        <v/>
      </c>
      <c r="V21" s="9" t="str">
        <f t="shared" si="1"/>
        <v>X</v>
      </c>
      <c r="W21" s="6" t="str">
        <f t="shared" si="2"/>
        <v/>
      </c>
    </row>
    <row r="22" spans="15:23" x14ac:dyDescent="0.3">
      <c r="O22" s="6">
        <f>IF(OR(Q22="동",Q22="무"),VLOOKUP(R22,종목!B:E,4,FALSE),0)</f>
        <v>0</v>
      </c>
      <c r="P22" s="6">
        <f>IF(OR(Q22="서",Q22="무"),VLOOKUP(R22,종목!$B:$E,4,FALSE),0)</f>
        <v>0</v>
      </c>
      <c r="S22" s="9" t="str">
        <f t="shared" si="0"/>
        <v>X</v>
      </c>
      <c r="T22" s="9" t="str">
        <f>IFERROR(IF(OR(R22&lt;&gt;"준비",R22&lt;&gt;"개막",R22&lt;&gt;"폐막",R22&lt;&gt;"점심"),TIME(0,VLOOKUP(R22,종목!$B:$E,2,FALSE),0),""),"")</f>
        <v/>
      </c>
      <c r="U22" s="9" t="str">
        <f t="shared" si="3"/>
        <v/>
      </c>
      <c r="V22" s="9" t="str">
        <f t="shared" si="1"/>
        <v>X</v>
      </c>
      <c r="W22" s="6" t="str">
        <f t="shared" si="2"/>
        <v/>
      </c>
    </row>
    <row r="23" spans="15:23" x14ac:dyDescent="0.3">
      <c r="O23" s="6">
        <f>IF(OR(Q23="동",Q23="무"),VLOOKUP(R23,종목!B:E,4,FALSE),0)</f>
        <v>0</v>
      </c>
      <c r="P23" s="6">
        <f>IF(OR(Q23="서",Q23="무"),VLOOKUP(R23,종목!$B:$E,4,FALSE),0)</f>
        <v>0</v>
      </c>
      <c r="S23" s="9" t="str">
        <f t="shared" si="0"/>
        <v>X</v>
      </c>
      <c r="T23" s="9" t="str">
        <f>IFERROR(IF(OR(R23&lt;&gt;"준비",R23&lt;&gt;"개막",R23&lt;&gt;"폐막",R23&lt;&gt;"점심"),TIME(0,VLOOKUP(R23,종목!$B:$E,2,FALSE),0),""),"")</f>
        <v/>
      </c>
      <c r="U23" s="9" t="str">
        <f t="shared" si="3"/>
        <v/>
      </c>
      <c r="V23" s="9" t="str">
        <f t="shared" si="1"/>
        <v>X</v>
      </c>
      <c r="W23" s="6" t="str">
        <f t="shared" si="2"/>
        <v/>
      </c>
    </row>
    <row r="24" spans="15:23" x14ac:dyDescent="0.3">
      <c r="O24" s="6">
        <f>IF(OR(Q24="동",Q24="무"),VLOOKUP(R24,종목!B:E,4,FALSE),0)</f>
        <v>0</v>
      </c>
      <c r="P24" s="6">
        <f>IF(OR(Q24="서",Q24="무"),VLOOKUP(R24,종목!$B:$E,4,FALSE),0)</f>
        <v>0</v>
      </c>
      <c r="S24" s="9" t="str">
        <f t="shared" si="0"/>
        <v>X</v>
      </c>
      <c r="T24" s="9" t="str">
        <f>IFERROR(IF(OR(R24&lt;&gt;"준비",R24&lt;&gt;"개막",R24&lt;&gt;"폐막",R24&lt;&gt;"점심"),TIME(0,VLOOKUP(R24,종목!$B:$E,2,FALSE),0),""),"")</f>
        <v/>
      </c>
      <c r="U24" s="9" t="str">
        <f t="shared" si="3"/>
        <v/>
      </c>
      <c r="V24" s="9" t="str">
        <f t="shared" si="1"/>
        <v>X</v>
      </c>
      <c r="W24" s="6" t="str">
        <f t="shared" si="2"/>
        <v/>
      </c>
    </row>
    <row r="25" spans="15:23" x14ac:dyDescent="0.3">
      <c r="O25" s="6">
        <f>IF(OR(Q25="동",Q25="무"),VLOOKUP(R25,종목!B:E,4,FALSE),0)</f>
        <v>0</v>
      </c>
      <c r="P25" s="6">
        <f>IF(OR(Q25="서",Q25="무"),VLOOKUP(R25,종목!$B:$E,4,FALSE),0)</f>
        <v>0</v>
      </c>
      <c r="S25" s="9" t="str">
        <f t="shared" si="0"/>
        <v>X</v>
      </c>
      <c r="T25" s="9" t="str">
        <f>IFERROR(IF(OR(R25&lt;&gt;"준비",R25&lt;&gt;"개막",R25&lt;&gt;"폐막",R25&lt;&gt;"점심"),TIME(0,VLOOKUP(R25,종목!$B:$E,2,FALSE),0),""),"")</f>
        <v/>
      </c>
      <c r="U25" s="9" t="str">
        <f t="shared" si="3"/>
        <v/>
      </c>
      <c r="V25" s="9" t="str">
        <f t="shared" si="1"/>
        <v>X</v>
      </c>
      <c r="W25" s="6" t="str">
        <f t="shared" si="2"/>
        <v/>
      </c>
    </row>
    <row r="26" spans="15:23" x14ac:dyDescent="0.3">
      <c r="O26" s="6">
        <f>IF(OR(Q26="동",Q26="무"),VLOOKUP(R26,종목!B:E,4,FALSE),0)</f>
        <v>0</v>
      </c>
      <c r="P26" s="6">
        <f>IF(OR(Q26="서",Q26="무"),VLOOKUP(R26,종목!$B:$E,4,FALSE),0)</f>
        <v>0</v>
      </c>
      <c r="S26" s="9" t="str">
        <f t="shared" si="0"/>
        <v>X</v>
      </c>
      <c r="T26" s="9" t="str">
        <f>IFERROR(IF(OR(R26&lt;&gt;"준비",R26&lt;&gt;"개막",R26&lt;&gt;"폐막",R26&lt;&gt;"점심"),TIME(0,VLOOKUP(R26,종목!$B:$E,2,FALSE),0),""),"")</f>
        <v/>
      </c>
      <c r="U26" s="9" t="str">
        <f t="shared" si="3"/>
        <v/>
      </c>
      <c r="V26" s="9" t="str">
        <f t="shared" si="1"/>
        <v>X</v>
      </c>
      <c r="W26" s="6" t="str">
        <f t="shared" si="2"/>
        <v/>
      </c>
    </row>
    <row r="27" spans="15:23" x14ac:dyDescent="0.3">
      <c r="O27" s="6">
        <f>IF(OR(Q27="동",Q27="무"),VLOOKUP(R27,종목!B:E,4,FALSE),0)</f>
        <v>0</v>
      </c>
      <c r="P27" s="6">
        <f>IF(OR(Q27="서",Q27="무"),VLOOKUP(R27,종목!$B:$E,4,FALSE),0)</f>
        <v>0</v>
      </c>
      <c r="S27" s="9" t="str">
        <f t="shared" si="0"/>
        <v>X</v>
      </c>
      <c r="T27" s="9" t="str">
        <f>IFERROR(IF(OR(R27&lt;&gt;"준비",R27&lt;&gt;"개막",R27&lt;&gt;"폐막",R27&lt;&gt;"점심"),TIME(0,VLOOKUP(R27,종목!$B:$E,2,FALSE),0),""),"")</f>
        <v/>
      </c>
      <c r="U27" s="9" t="str">
        <f t="shared" si="3"/>
        <v/>
      </c>
      <c r="V27" s="9" t="str">
        <f t="shared" si="1"/>
        <v>X</v>
      </c>
      <c r="W27" s="6" t="str">
        <f t="shared" si="2"/>
        <v/>
      </c>
    </row>
    <row r="33" spans="7:14" x14ac:dyDescent="0.3">
      <c r="G33" s="15" t="str">
        <f>C1 &amp; "일차"</f>
        <v>1일차</v>
      </c>
      <c r="H33" s="15"/>
      <c r="I33" s="15"/>
    </row>
    <row r="34" spans="7:14" x14ac:dyDescent="0.3">
      <c r="G34" s="15"/>
      <c r="H34" s="15"/>
      <c r="I34" s="15"/>
    </row>
    <row r="35" spans="7:14" ht="26.25" x14ac:dyDescent="0.3">
      <c r="G35" s="15" t="str">
        <f>C1 &amp; "/" &amp; D1</f>
        <v>1/1</v>
      </c>
      <c r="H35" s="15"/>
      <c r="I35" s="15"/>
    </row>
    <row r="36" spans="7:14" x14ac:dyDescent="0.3">
      <c r="N36" s="6" t="s">
        <v>150</v>
      </c>
    </row>
    <row r="38" spans="7:14" x14ac:dyDescent="0.3">
      <c r="G38" s="15"/>
      <c r="H38" s="15"/>
      <c r="I38" s="15"/>
    </row>
    <row r="39" spans="7:14" x14ac:dyDescent="0.3">
      <c r="G39" s="15"/>
      <c r="H39" s="15"/>
      <c r="I39" s="15"/>
    </row>
    <row r="40" spans="7:14" ht="26.25" x14ac:dyDescent="0.3">
      <c r="G40" s="15"/>
      <c r="H40" s="15"/>
      <c r="I40" s="15"/>
    </row>
  </sheetData>
  <mergeCells count="6">
    <mergeCell ref="E3:K4"/>
    <mergeCell ref="E5:K13"/>
    <mergeCell ref="G38:I39"/>
    <mergeCell ref="G40:I40"/>
    <mergeCell ref="G33:I34"/>
    <mergeCell ref="G35:I35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5" r:id="rId3" name="CommandButton3">
          <controlPr defaultSize="0" autoLine="0" r:id="rId4">
            <anchor moveWithCells="1">
              <from>
                <xdr:col>11</xdr:col>
                <xdr:colOff>152400</xdr:colOff>
                <xdr:row>32</xdr:row>
                <xdr:rowOff>47625</xdr:rowOff>
              </from>
              <to>
                <xdr:col>12</xdr:col>
                <xdr:colOff>419100</xdr:colOff>
                <xdr:row>34</xdr:row>
                <xdr:rowOff>257175</xdr:rowOff>
              </to>
            </anchor>
          </controlPr>
        </control>
      </mc:Choice>
      <mc:Fallback>
        <control shapeId="5135" r:id="rId3" name="CommandButton3"/>
      </mc:Fallback>
    </mc:AlternateContent>
    <mc:AlternateContent xmlns:mc="http://schemas.openxmlformats.org/markup-compatibility/2006">
      <mc:Choice Requires="x14">
        <control shapeId="5134" r:id="rId5" name="CommandButton2">
          <controlPr defaultSize="0" autoLine="0" r:id="rId6">
            <anchor moveWithCells="1">
              <from>
                <xdr:col>2</xdr:col>
                <xdr:colOff>238125</xdr:colOff>
                <xdr:row>32</xdr:row>
                <xdr:rowOff>76200</xdr:rowOff>
              </from>
              <to>
                <xdr:col>3</xdr:col>
                <xdr:colOff>504825</xdr:colOff>
                <xdr:row>34</xdr:row>
                <xdr:rowOff>285750</xdr:rowOff>
              </to>
            </anchor>
          </controlPr>
        </control>
      </mc:Choice>
      <mc:Fallback>
        <control shapeId="5134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11</xdr:col>
                <xdr:colOff>200025</xdr:colOff>
                <xdr:row>2</xdr:row>
                <xdr:rowOff>0</xdr:rowOff>
              </from>
              <to>
                <xdr:col>13</xdr:col>
                <xdr:colOff>200025</xdr:colOff>
                <xdr:row>4</xdr:row>
                <xdr:rowOff>0</xdr:rowOff>
              </to>
            </anchor>
          </controlPr>
        </control>
      </mc:Choice>
      <mc:Fallback>
        <control shapeId="5121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7"/>
  <sheetViews>
    <sheetView showGridLines="0" zoomScaleNormal="100" workbookViewId="0">
      <selection activeCell="N3" sqref="N3"/>
    </sheetView>
  </sheetViews>
  <sheetFormatPr defaultRowHeight="16.5" x14ac:dyDescent="0.3"/>
  <cols>
    <col min="1" max="15" width="9" style="6"/>
    <col min="16" max="24" width="9" style="3"/>
    <col min="25" max="16384" width="9" style="6"/>
  </cols>
  <sheetData>
    <row r="1" spans="1:20" x14ac:dyDescent="0.3">
      <c r="A1" s="6">
        <f>스케줄!A1</f>
        <v>0</v>
      </c>
      <c r="B1" s="6">
        <f>스케줄!B1</f>
        <v>0</v>
      </c>
      <c r="C1" s="6">
        <v>1</v>
      </c>
      <c r="I1" s="6" t="s">
        <v>157</v>
      </c>
      <c r="J1" s="6" t="s">
        <v>158</v>
      </c>
      <c r="K1" s="6" t="s">
        <v>159</v>
      </c>
      <c r="P1" s="3">
        <f>MAX(스케줄!O3:P27)</f>
        <v>0</v>
      </c>
      <c r="Q1" s="3" t="e">
        <f>VLOOKUP(P1,종목!$E:$F,2,FALSE)</f>
        <v>#N/A</v>
      </c>
      <c r="R1" s="3" t="e">
        <f t="array" ref="R1">SUMPRODUCT(($Q$1=참가선수!$E$2:$E$10000) * 참가선수!$A$2:$A$10000)</f>
        <v>#N/A</v>
      </c>
      <c r="S1" s="3" t="e">
        <f t="array" ref="S1">INDEX(참가선수!$A$2:$E$35,경기현황!R1,3)</f>
        <v>#N/A</v>
      </c>
    </row>
    <row r="2" spans="1:20" x14ac:dyDescent="0.3">
      <c r="H2" s="6" t="s">
        <v>151</v>
      </c>
      <c r="I2" s="6">
        <v>50</v>
      </c>
      <c r="J2" s="6">
        <v>50</v>
      </c>
      <c r="K2" s="6">
        <v>0</v>
      </c>
      <c r="S2" s="3" t="e">
        <f t="array" ref="S2">INDEX(참가선수!$A$2:$E$35,경기현황!R1,4)</f>
        <v>#N/A</v>
      </c>
    </row>
    <row r="3" spans="1:20" x14ac:dyDescent="0.3">
      <c r="H3" s="6" t="s">
        <v>152</v>
      </c>
      <c r="I3" s="6">
        <v>15</v>
      </c>
      <c r="J3" s="6">
        <v>50</v>
      </c>
      <c r="K3" s="6">
        <v>0</v>
      </c>
      <c r="S3" s="3" t="e">
        <f t="array" ref="S3">무작위(S1,"동")</f>
        <v>#VALUE!</v>
      </c>
      <c r="T3" s="3" t="e">
        <f t="array" aca="1" ref="T3" ca="1">INDEX(팀,$S$3+1,7)</f>
        <v>#VALUE!</v>
      </c>
    </row>
    <row r="4" spans="1:20" x14ac:dyDescent="0.3">
      <c r="H4" s="6" t="s">
        <v>153</v>
      </c>
      <c r="I4" s="6">
        <v>15</v>
      </c>
      <c r="J4" s="6">
        <v>50</v>
      </c>
      <c r="K4" s="6">
        <v>30</v>
      </c>
      <c r="S4" s="3" t="e">
        <f t="array" ref="S4">무작위(S2,"서")</f>
        <v>#VALUE!</v>
      </c>
      <c r="T4" s="3" t="e">
        <f t="array" aca="1" ref="T4" ca="1">INDEX(팀,$S$4+1+팀!H1,7)</f>
        <v>#VALUE!</v>
      </c>
    </row>
    <row r="5" spans="1:20" x14ac:dyDescent="0.3">
      <c r="H5" s="6" t="s">
        <v>154</v>
      </c>
      <c r="I5" s="6">
        <v>85</v>
      </c>
      <c r="J5" s="6">
        <v>50</v>
      </c>
      <c r="K5" s="6">
        <v>0</v>
      </c>
    </row>
    <row r="6" spans="1:20" x14ac:dyDescent="0.3">
      <c r="H6" s="6" t="s">
        <v>155</v>
      </c>
      <c r="I6" s="6">
        <v>85</v>
      </c>
      <c r="J6" s="6">
        <v>50</v>
      </c>
      <c r="K6" s="6">
        <v>90</v>
      </c>
    </row>
    <row r="7" spans="1:20" x14ac:dyDescent="0.3">
      <c r="H7" s="6" t="s">
        <v>156</v>
      </c>
      <c r="I7" s="6">
        <v>0</v>
      </c>
      <c r="J7" s="6">
        <v>0</v>
      </c>
      <c r="K7" s="6">
        <f>SUM(A1:B1)</f>
        <v>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12</xdr:col>
                <xdr:colOff>104775</xdr:colOff>
                <xdr:row>0</xdr:row>
                <xdr:rowOff>95250</xdr:rowOff>
              </from>
              <to>
                <xdr:col>14</xdr:col>
                <xdr:colOff>104775</xdr:colOff>
                <xdr:row>2</xdr:row>
                <xdr:rowOff>95250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Q91"/>
  <sheetViews>
    <sheetView zoomScale="85" zoomScaleNormal="85" workbookViewId="0">
      <selection activeCell="S4" sqref="S4"/>
    </sheetView>
  </sheetViews>
  <sheetFormatPr defaultRowHeight="16.5" x14ac:dyDescent="0.3"/>
  <cols>
    <col min="1" max="3" width="9" style="6"/>
    <col min="4" max="4" width="20.75" style="6" customWidth="1"/>
    <col min="5" max="5" width="10.5" style="6" customWidth="1"/>
    <col min="6" max="6" width="9" style="6"/>
    <col min="7" max="7" width="11.75" style="6" customWidth="1"/>
    <col min="8" max="8" width="27.125" style="6" customWidth="1"/>
    <col min="9" max="9" width="9" style="6"/>
    <col min="10" max="10" width="16.375" style="3" customWidth="1"/>
    <col min="11" max="12" width="9" style="6"/>
    <col min="13" max="13" width="13.25" style="6" customWidth="1"/>
    <col min="14" max="14" width="17.25" style="6" customWidth="1"/>
    <col min="15" max="16384" width="9" style="6"/>
  </cols>
  <sheetData>
    <row r="1" spans="2:17" x14ac:dyDescent="0.3">
      <c r="B1" s="6" t="s">
        <v>165</v>
      </c>
      <c r="C1" s="6">
        <v>1</v>
      </c>
      <c r="D1" s="5" t="s">
        <v>85</v>
      </c>
      <c r="E1" s="3" t="s">
        <v>141</v>
      </c>
      <c r="F1" s="5" t="s">
        <v>0</v>
      </c>
      <c r="G1" s="5" t="s">
        <v>87</v>
      </c>
      <c r="H1" s="5" t="str">
        <f xml:space="preserve"> D2 &amp;  " 참가학생(번호)"</f>
        <v>동팀 참가학생(번호)</v>
      </c>
      <c r="I1" s="5" t="s">
        <v>1</v>
      </c>
      <c r="J1" s="3" t="s">
        <v>141</v>
      </c>
      <c r="K1" s="5" t="s">
        <v>1</v>
      </c>
      <c r="M1" s="5" t="s">
        <v>141</v>
      </c>
      <c r="N1" s="5" t="str">
        <f xml:space="preserve"> D2 &amp;  " 참가학생(번호)"</f>
        <v>동팀 참가학생(번호)</v>
      </c>
      <c r="P1" s="6" t="s">
        <v>161</v>
      </c>
    </row>
    <row r="2" spans="2:17" x14ac:dyDescent="0.3">
      <c r="D2" s="6" t="str">
        <f>Main!A1</f>
        <v>동팀</v>
      </c>
      <c r="E2" s="6" t="str">
        <f>"=" &amp; E3</f>
        <v>=허수한</v>
      </c>
      <c r="F2" s="3">
        <v>20</v>
      </c>
      <c r="G2" s="4">
        <v>36521</v>
      </c>
      <c r="H2" s="6" t="s">
        <v>167</v>
      </c>
      <c r="I2" s="3"/>
      <c r="K2" s="3">
        <v>1</v>
      </c>
      <c r="M2" s="6" t="s">
        <v>170</v>
      </c>
      <c r="N2" s="3" t="s">
        <v>117</v>
      </c>
      <c r="Q2" s="6" t="str">
        <f t="array" aca="1" ref="Q2" ca="1">IF(D2="동팀",INDEX(팀,P2+1,3),INDEX(팀,P2+1+팀!H1,3))</f>
        <v>성명</v>
      </c>
    </row>
    <row r="3" spans="2:17" x14ac:dyDescent="0.3">
      <c r="E3" s="6" t="s">
        <v>166</v>
      </c>
      <c r="F3" s="3">
        <v>31</v>
      </c>
      <c r="G3" s="4">
        <v>36377</v>
      </c>
      <c r="I3" s="3"/>
      <c r="K3" s="3">
        <v>6</v>
      </c>
      <c r="N3" s="3"/>
      <c r="Q3" s="3" t="str">
        <f t="array" aca="1" ref="Q3" ca="1">IF(D3="동팀",INDEX(팀,P3+1,3),INDEX(팀,P3+1+팀!H2,3))</f>
        <v>유재혁</v>
      </c>
    </row>
    <row r="4" spans="2:17" x14ac:dyDescent="0.3">
      <c r="F4" s="3">
        <v>33</v>
      </c>
      <c r="G4" s="4">
        <v>36521</v>
      </c>
      <c r="I4" s="3"/>
      <c r="K4" s="3"/>
      <c r="N4" s="3"/>
      <c r="Q4" s="3" t="str">
        <f t="array" aca="1" ref="Q4" ca="1">IF(D4="동팀",INDEX(팀,P4+1,3),INDEX(팀,P4+1+팀!H3,3))</f>
        <v>성명</v>
      </c>
    </row>
    <row r="5" spans="2:17" x14ac:dyDescent="0.3">
      <c r="F5" s="3">
        <v>43</v>
      </c>
      <c r="G5" s="4">
        <v>36521</v>
      </c>
      <c r="I5" s="3"/>
      <c r="K5" s="3"/>
      <c r="N5" s="3"/>
      <c r="Q5" s="3" t="str">
        <f t="array" aca="1" ref="Q5" ca="1">IF(D5="동팀",INDEX(팀,P5+1,3),INDEX(팀,P5+1+팀!H4,3))</f>
        <v>성명</v>
      </c>
    </row>
    <row r="6" spans="2:17" x14ac:dyDescent="0.3">
      <c r="F6" s="3"/>
      <c r="G6" s="4"/>
      <c r="I6" s="3"/>
      <c r="K6" s="3"/>
      <c r="N6" s="3"/>
      <c r="Q6" s="3" t="str">
        <f t="array" aca="1" ref="Q6" ca="1">IF(D6="동팀",INDEX(팀,P6+1,3),INDEX(팀,P6+1+팀!H5,3))</f>
        <v>성명</v>
      </c>
    </row>
    <row r="7" spans="2:17" x14ac:dyDescent="0.3">
      <c r="F7" s="3"/>
      <c r="G7" s="4"/>
      <c r="I7" s="3"/>
      <c r="K7" s="3"/>
      <c r="N7" s="3"/>
      <c r="Q7" s="3" t="str">
        <f t="array" aca="1" ref="Q7" ca="1">IF(D7="동팀",INDEX(팀,P7+1,3),INDEX(팀,P7+1+팀!H6,3))</f>
        <v>성명</v>
      </c>
    </row>
    <row r="8" spans="2:17" x14ac:dyDescent="0.3">
      <c r="F8" s="3"/>
      <c r="G8" s="4"/>
      <c r="N8" s="3"/>
      <c r="Q8" s="3" t="str">
        <f t="array" aca="1" ref="Q8" ca="1">IF(D8="동팀",INDEX(팀,P8+1,3),INDEX(팀,P8+1+팀!H7,3))</f>
        <v>성명</v>
      </c>
    </row>
    <row r="9" spans="2:17" x14ac:dyDescent="0.3">
      <c r="F9" s="3"/>
      <c r="G9" s="4"/>
      <c r="N9" s="3"/>
      <c r="Q9" s="3" t="str">
        <f t="array" aca="1" ref="Q9" ca="1">IF(D9="동팀",INDEX(팀,P9+1,3),INDEX(팀,P9+1+팀!H8,3))</f>
        <v>성명</v>
      </c>
    </row>
    <row r="10" spans="2:17" x14ac:dyDescent="0.3">
      <c r="F10" s="3"/>
      <c r="G10" s="4"/>
      <c r="N10" s="3"/>
      <c r="Q10" s="3" t="str">
        <f t="array" aca="1" ref="Q10" ca="1">IF(D10="동팀",INDEX(팀,P10+1,3),INDEX(팀,P10+1+팀!H9,3))</f>
        <v>성명</v>
      </c>
    </row>
    <row r="11" spans="2:17" x14ac:dyDescent="0.3">
      <c r="F11" s="3"/>
      <c r="G11" s="4"/>
      <c r="N11" s="3"/>
      <c r="Q11" s="3" t="str">
        <f t="array" aca="1" ref="Q11" ca="1">IF(D11="동팀",INDEX(팀,P11+1,3),INDEX(팀,P11+1+팀!H10,3))</f>
        <v>성명</v>
      </c>
    </row>
    <row r="12" spans="2:17" x14ac:dyDescent="0.3">
      <c r="F12" s="3"/>
      <c r="G12" s="4"/>
      <c r="N12" s="3"/>
      <c r="Q12" s="3" t="str">
        <f t="array" aca="1" ref="Q12" ca="1">IF(D12="동팀",INDEX(팀,P12+1,3),INDEX(팀,P12+1+팀!H11,3))</f>
        <v>성명</v>
      </c>
    </row>
    <row r="13" spans="2:17" x14ac:dyDescent="0.3">
      <c r="F13" s="3"/>
      <c r="G13" s="4"/>
      <c r="N13" s="3"/>
      <c r="Q13" s="3" t="str">
        <f t="array" aca="1" ref="Q13" ca="1">IF(D13="동팀",INDEX(팀,P13+1,3),INDEX(팀,P13+1+팀!H12,3))</f>
        <v>성명</v>
      </c>
    </row>
    <row r="14" spans="2:17" x14ac:dyDescent="0.3">
      <c r="F14" s="3"/>
      <c r="G14" s="4"/>
      <c r="Q14" s="3" t="str">
        <f t="array" aca="1" ref="Q14" ca="1">IF(D14="동팀",INDEX(팀,P14+1,3),INDEX(팀,P14+1+팀!H13,3))</f>
        <v>성명</v>
      </c>
    </row>
    <row r="15" spans="2:17" x14ac:dyDescent="0.3">
      <c r="F15" s="3"/>
      <c r="G15" s="4"/>
      <c r="Q15" s="3" t="str">
        <f t="array" aca="1" ref="Q15" ca="1">IF(D15="동팀",INDEX(팀,P15+1,3),INDEX(팀,P15+1+팀!H14,3))</f>
        <v>성명</v>
      </c>
    </row>
    <row r="16" spans="2:17" x14ac:dyDescent="0.3">
      <c r="F16" s="3"/>
      <c r="G16" s="4"/>
      <c r="Q16" s="3" t="str">
        <f t="array" aca="1" ref="Q16" ca="1">IF(D16="동팀",INDEX(팀,P16+1,3),INDEX(팀,P16+1+팀!H15,3))</f>
        <v>성명</v>
      </c>
    </row>
    <row r="17" spans="3:17" x14ac:dyDescent="0.3">
      <c r="F17" s="3"/>
      <c r="G17" s="4"/>
      <c r="Q17" s="3" t="str">
        <f t="array" aca="1" ref="Q17" ca="1">IF(D17="동팀",INDEX(팀,P17+1,3),INDEX(팀,P17+1+팀!H16,3))</f>
        <v>성명</v>
      </c>
    </row>
    <row r="18" spans="3:17" x14ac:dyDescent="0.3">
      <c r="F18" s="3"/>
      <c r="G18" s="4"/>
      <c r="Q18" s="3" t="str">
        <f t="array" aca="1" ref="Q18" ca="1">IF(D18="동팀",INDEX(팀,P18+1,3),INDEX(팀,P18+1+팀!H17,3))</f>
        <v>성명</v>
      </c>
    </row>
    <row r="19" spans="3:17" x14ac:dyDescent="0.3">
      <c r="F19" s="3"/>
      <c r="G19" s="4"/>
      <c r="Q19" s="3" t="str">
        <f t="array" aca="1" ref="Q19" ca="1">IF(D19="동팀",INDEX(팀,P19+1,3),INDEX(팀,P19+1+팀!H18,3))</f>
        <v>성명</v>
      </c>
    </row>
    <row r="20" spans="3:17" x14ac:dyDescent="0.3">
      <c r="C20" s="5" t="s">
        <v>0</v>
      </c>
      <c r="D20" s="5" t="s">
        <v>85</v>
      </c>
      <c r="E20" s="5" t="s">
        <v>0</v>
      </c>
      <c r="F20" s="3"/>
      <c r="G20" s="4"/>
      <c r="H20" s="5" t="s">
        <v>34</v>
      </c>
      <c r="I20" s="3"/>
      <c r="Q20" s="3" t="str">
        <f t="array" aca="1" ref="Q20" ca="1">IF(D20="동팀",INDEX(팀,P20+1,3),INDEX(팀,P20+1+팀!H19,3))</f>
        <v>성명</v>
      </c>
    </row>
    <row r="21" spans="3:17" x14ac:dyDescent="0.3">
      <c r="F21" s="3"/>
      <c r="G21" s="4"/>
      <c r="Q21" s="3" t="str">
        <f t="array" aca="1" ref="Q21" ca="1">IF(D21="동팀",INDEX(팀,P21+1,3),INDEX(팀,P21+1+팀!H20,3))</f>
        <v>성명</v>
      </c>
    </row>
    <row r="22" spans="3:17" x14ac:dyDescent="0.3">
      <c r="F22" s="3"/>
      <c r="G22" s="4"/>
      <c r="Q22" s="3" t="str">
        <f t="array" aca="1" ref="Q22" ca="1">IF(D22="동팀",INDEX(팀,P22+1,3),INDEX(팀,P22+1+팀!H21,3))</f>
        <v>성명</v>
      </c>
    </row>
    <row r="23" spans="3:17" x14ac:dyDescent="0.3">
      <c r="F23" s="3"/>
      <c r="G23" s="4"/>
      <c r="Q23" s="3" t="str">
        <f t="array" aca="1" ref="Q23" ca="1">IF(D23="동팀",INDEX(팀,P23+1,3),INDEX(팀,P23+1+팀!H22,3))</f>
        <v>성명</v>
      </c>
    </row>
    <row r="24" spans="3:17" x14ac:dyDescent="0.3">
      <c r="C24" s="5" t="s">
        <v>1</v>
      </c>
      <c r="D24" s="5" t="s">
        <v>160</v>
      </c>
      <c r="E24" s="3" t="s">
        <v>141</v>
      </c>
      <c r="F24" s="3"/>
      <c r="G24" s="4"/>
      <c r="Q24" s="3" t="str">
        <f t="array" aca="1" ref="Q24" ca="1">IF(D24="동팀",INDEX(팀,P24+1,3),INDEX(팀,P24+1+팀!H23,3))</f>
        <v>성명</v>
      </c>
    </row>
    <row r="25" spans="3:17" x14ac:dyDescent="0.3">
      <c r="F25" s="3"/>
      <c r="G25" s="4"/>
      <c r="Q25" s="3" t="str">
        <f t="array" aca="1" ref="Q25" ca="1">IF(D25="동팀",INDEX(팀,P25+1,3),INDEX(팀,P25+1+팀!H24,3))</f>
        <v>성명</v>
      </c>
    </row>
    <row r="26" spans="3:17" x14ac:dyDescent="0.3">
      <c r="F26" s="3"/>
      <c r="G26" s="4"/>
      <c r="Q26" s="3" t="str">
        <f t="array" aca="1" ref="Q26" ca="1">IF(D26="동팀",INDEX(팀,P26+1,3),INDEX(팀,P26+1+팀!H25,3))</f>
        <v>성명</v>
      </c>
    </row>
    <row r="27" spans="3:17" x14ac:dyDescent="0.3">
      <c r="F27" s="3"/>
      <c r="G27" s="4"/>
      <c r="Q27" s="3" t="str">
        <f t="array" aca="1" ref="Q27" ca="1">IF(D27="동팀",INDEX(팀,P27+1,3),INDEX(팀,P27+1+팀!H26,3))</f>
        <v>성명</v>
      </c>
    </row>
    <row r="28" spans="3:17" x14ac:dyDescent="0.3">
      <c r="F28" s="3"/>
      <c r="G28" s="4"/>
      <c r="Q28" s="3" t="str">
        <f t="array" aca="1" ref="Q28" ca="1">IF(D28="동팀",INDEX(팀,P28+1,3),INDEX(팀,P28+1+팀!H27,3))</f>
        <v>성명</v>
      </c>
    </row>
    <row r="29" spans="3:17" x14ac:dyDescent="0.3">
      <c r="F29" s="3"/>
      <c r="G29" s="4"/>
      <c r="Q29" s="3" t="str">
        <f t="array" aca="1" ref="Q29" ca="1">IF(D29="동팀",INDEX(팀,P29+1,3),INDEX(팀,P29+1+팀!H28,3))</f>
        <v>성명</v>
      </c>
    </row>
    <row r="30" spans="3:17" x14ac:dyDescent="0.3">
      <c r="F30" s="3"/>
      <c r="G30" s="4"/>
      <c r="Q30" s="3" t="str">
        <f t="array" aca="1" ref="Q30" ca="1">IF(D30="동팀",INDEX(팀,P30+1,3),INDEX(팀,P30+1+팀!H29,3))</f>
        <v>성명</v>
      </c>
    </row>
    <row r="31" spans="3:17" x14ac:dyDescent="0.3">
      <c r="F31" s="3"/>
      <c r="G31" s="4"/>
      <c r="Q31" s="3" t="str">
        <f t="array" aca="1" ref="Q31" ca="1">IF(D31="동팀",INDEX(팀,P31+1,3),INDEX(팀,P31+1+팀!H30,3))</f>
        <v>성명</v>
      </c>
    </row>
    <row r="32" spans="3:17" x14ac:dyDescent="0.3">
      <c r="F32" s="3"/>
      <c r="G32" s="4"/>
      <c r="Q32" s="3" t="str">
        <f t="array" aca="1" ref="Q32" ca="1">IF(D32="동팀",INDEX(팀,P32+1,3),INDEX(팀,P32+1+팀!H31,3))</f>
        <v>성명</v>
      </c>
    </row>
    <row r="33" spans="6:17" x14ac:dyDescent="0.3">
      <c r="F33" s="3"/>
      <c r="G33" s="4"/>
      <c r="Q33" s="3" t="str">
        <f t="array" aca="1" ref="Q33" ca="1">IF(D33="동팀",INDEX(팀,P33+1,3),INDEX(팀,P33+1+팀!H32,3))</f>
        <v>성명</v>
      </c>
    </row>
    <row r="34" spans="6:17" x14ac:dyDescent="0.3">
      <c r="F34" s="3"/>
      <c r="G34" s="4"/>
      <c r="Q34" s="3" t="str">
        <f t="array" aca="1" ref="Q34" ca="1">IF(D34="동팀",INDEX(팀,P34+1,3),INDEX(팀,P34+1+팀!H33,3))</f>
        <v>성명</v>
      </c>
    </row>
    <row r="35" spans="6:17" x14ac:dyDescent="0.3">
      <c r="F35" s="3"/>
      <c r="G35" s="4"/>
      <c r="Q35" s="3" t="str">
        <f t="array" aca="1" ref="Q35" ca="1">IF(D35="동팀",INDEX(팀,P35+1,3),INDEX(팀,P35+1+팀!H34,3))</f>
        <v>성명</v>
      </c>
    </row>
    <row r="36" spans="6:17" x14ac:dyDescent="0.3">
      <c r="F36" s="3"/>
      <c r="G36" s="4"/>
      <c r="Q36" s="3" t="str">
        <f t="array" aca="1" ref="Q36" ca="1">IF(D36="동팀",INDEX(팀,P36+1,3),INDEX(팀,P36+1+팀!H35,3))</f>
        <v>성명</v>
      </c>
    </row>
    <row r="37" spans="6:17" x14ac:dyDescent="0.3">
      <c r="F37" s="3"/>
      <c r="G37" s="4"/>
      <c r="Q37" s="3" t="str">
        <f t="array" aca="1" ref="Q37" ca="1">IF(D37="동팀",INDEX(팀,P37+1,3),INDEX(팀,P37+1+팀!H36,3))</f>
        <v>성명</v>
      </c>
    </row>
    <row r="38" spans="6:17" x14ac:dyDescent="0.3">
      <c r="F38" s="3"/>
      <c r="G38" s="4"/>
      <c r="Q38" s="3" t="str">
        <f t="array" aca="1" ref="Q38" ca="1">IF(D38="동팀",INDEX(팀,P38+1,3),INDEX(팀,P38+1+팀!H37,3))</f>
        <v>성명</v>
      </c>
    </row>
    <row r="39" spans="6:17" x14ac:dyDescent="0.3">
      <c r="F39" s="3"/>
      <c r="G39" s="4"/>
      <c r="Q39" s="3" t="str">
        <f t="array" aca="1" ref="Q39" ca="1">IF(D39="동팀",INDEX(팀,P39+1,3),INDEX(팀,P39+1+팀!H38,3))</f>
        <v>성명</v>
      </c>
    </row>
    <row r="40" spans="6:17" x14ac:dyDescent="0.3">
      <c r="F40" s="3"/>
      <c r="G40" s="4"/>
      <c r="Q40" s="3" t="str">
        <f t="array" aca="1" ref="Q40" ca="1">IF(D40="동팀",INDEX(팀,P40+1,3),INDEX(팀,P40+1+팀!H39,3))</f>
        <v>성명</v>
      </c>
    </row>
    <row r="41" spans="6:17" x14ac:dyDescent="0.3">
      <c r="F41" s="3"/>
      <c r="G41" s="4"/>
      <c r="Q41" s="3" t="str">
        <f t="array" aca="1" ref="Q41" ca="1">IF(D41="동팀",INDEX(팀,P41+1,3),INDEX(팀,P41+1+팀!H40,3))</f>
        <v>성명</v>
      </c>
    </row>
    <row r="42" spans="6:17" x14ac:dyDescent="0.3">
      <c r="F42" s="3"/>
      <c r="G42" s="4"/>
      <c r="Q42" s="3" t="str">
        <f t="array" aca="1" ref="Q42" ca="1">IF(D42="동팀",INDEX(팀,P42+1,3),INDEX(팀,P42+1+팀!H41,3))</f>
        <v>성명</v>
      </c>
    </row>
    <row r="43" spans="6:17" x14ac:dyDescent="0.3">
      <c r="F43" s="3"/>
      <c r="G43" s="4"/>
      <c r="Q43" s="3" t="str">
        <f t="array" aca="1" ref="Q43" ca="1">IF(D43="동팀",INDEX(팀,P43+1,3),INDEX(팀,P43+1+팀!H42,3))</f>
        <v>성명</v>
      </c>
    </row>
    <row r="44" spans="6:17" x14ac:dyDescent="0.3">
      <c r="F44" s="3"/>
      <c r="G44" s="4"/>
      <c r="Q44" s="3" t="str">
        <f t="array" aca="1" ref="Q44" ca="1">IF(D44="동팀",INDEX(팀,P44+1,3),INDEX(팀,P44+1+팀!H43,3))</f>
        <v>성명</v>
      </c>
    </row>
    <row r="45" spans="6:17" x14ac:dyDescent="0.3">
      <c r="F45" s="3"/>
      <c r="G45" s="4"/>
      <c r="Q45" s="3" t="str">
        <f t="array" aca="1" ref="Q45" ca="1">IF(D45="동팀",INDEX(팀,P45+1,3),INDEX(팀,P45+1+팀!H44,3))</f>
        <v>성명</v>
      </c>
    </row>
    <row r="46" spans="6:17" x14ac:dyDescent="0.3">
      <c r="F46" s="3"/>
      <c r="G46" s="4"/>
      <c r="Q46" s="3" t="str">
        <f t="array" aca="1" ref="Q46" ca="1">IF(D46="동팀",INDEX(팀,P46+1,3),INDEX(팀,P46+1+팀!H45,3))</f>
        <v>성명</v>
      </c>
    </row>
    <row r="47" spans="6:17" x14ac:dyDescent="0.3">
      <c r="F47" s="3"/>
      <c r="G47" s="4"/>
      <c r="Q47" s="3" t="str">
        <f t="array" aca="1" ref="Q47" ca="1">IF(D47="동팀",INDEX(팀,P47+1,3),INDEX(팀,P47+1+팀!H46,3))</f>
        <v>성명</v>
      </c>
    </row>
    <row r="48" spans="6:17" x14ac:dyDescent="0.3">
      <c r="F48" s="3"/>
      <c r="G48" s="4"/>
      <c r="Q48" s="3" t="str">
        <f t="array" aca="1" ref="Q48" ca="1">IF(D48="동팀",INDEX(팀,P48+1,3),INDEX(팀,P48+1+팀!H47,3))</f>
        <v>성명</v>
      </c>
    </row>
    <row r="49" spans="6:17" x14ac:dyDescent="0.3">
      <c r="F49" s="3"/>
      <c r="G49" s="4"/>
      <c r="Q49" s="3" t="str">
        <f t="array" aca="1" ref="Q49" ca="1">IF(D49="동팀",INDEX(팀,P49+1,3),INDEX(팀,P49+1+팀!H48,3))</f>
        <v>성명</v>
      </c>
    </row>
    <row r="50" spans="6:17" x14ac:dyDescent="0.3">
      <c r="F50" s="3"/>
      <c r="G50" s="4"/>
      <c r="Q50" s="3" t="str">
        <f t="array" aca="1" ref="Q50" ca="1">IF(D50="동팀",INDEX(팀,P50+1,3),INDEX(팀,P50+1+팀!H49,3))</f>
        <v>성명</v>
      </c>
    </row>
    <row r="51" spans="6:17" x14ac:dyDescent="0.3">
      <c r="F51" s="3"/>
      <c r="G51" s="4"/>
      <c r="Q51" s="3" t="str">
        <f t="array" aca="1" ref="Q51" ca="1">IF(D51="동팀",INDEX(팀,P51+1,3),INDEX(팀,P51+1+팀!H50,3))</f>
        <v>성명</v>
      </c>
    </row>
    <row r="52" spans="6:17" x14ac:dyDescent="0.3">
      <c r="F52" s="3"/>
      <c r="G52" s="4"/>
      <c r="Q52" s="3" t="str">
        <f t="array" aca="1" ref="Q52" ca="1">IF(D52="동팀",INDEX(팀,P52+1,3),INDEX(팀,P52+1+팀!H51,3))</f>
        <v>성명</v>
      </c>
    </row>
    <row r="53" spans="6:17" x14ac:dyDescent="0.3">
      <c r="F53" s="3"/>
      <c r="G53" s="4"/>
      <c r="Q53" s="3" t="str">
        <f t="array" aca="1" ref="Q53" ca="1">IF(D53="동팀",INDEX(팀,P53+1,3),INDEX(팀,P53+1+팀!H52,3))</f>
        <v>성명</v>
      </c>
    </row>
    <row r="54" spans="6:17" x14ac:dyDescent="0.3">
      <c r="F54" s="3"/>
      <c r="G54" s="4"/>
      <c r="Q54" s="3" t="str">
        <f t="array" aca="1" ref="Q54" ca="1">IF(D54="동팀",INDEX(팀,P54+1,3),INDEX(팀,P54+1+팀!H53,3))</f>
        <v>성명</v>
      </c>
    </row>
    <row r="55" spans="6:17" x14ac:dyDescent="0.3">
      <c r="F55" s="3"/>
      <c r="G55" s="4"/>
      <c r="Q55" s="3" t="str">
        <f t="array" aca="1" ref="Q55" ca="1">IF(D55="동팀",INDEX(팀,P55+1,3),INDEX(팀,P55+1+팀!H54,3))</f>
        <v>성명</v>
      </c>
    </row>
    <row r="56" spans="6:17" x14ac:dyDescent="0.3">
      <c r="F56" s="3"/>
      <c r="G56" s="4"/>
      <c r="Q56" s="3" t="str">
        <f t="array" aca="1" ref="Q56" ca="1">IF(D56="동팀",INDEX(팀,P56+1,3),INDEX(팀,P56+1+팀!H55,3))</f>
        <v>성명</v>
      </c>
    </row>
    <row r="57" spans="6:17" x14ac:dyDescent="0.3">
      <c r="F57" s="3"/>
      <c r="G57" s="4"/>
      <c r="Q57" s="3" t="str">
        <f t="array" aca="1" ref="Q57" ca="1">IF(D57="동팀",INDEX(팀,P57+1,3),INDEX(팀,P57+1+팀!H56,3))</f>
        <v>성명</v>
      </c>
    </row>
    <row r="58" spans="6:17" x14ac:dyDescent="0.3">
      <c r="F58" s="3"/>
      <c r="G58" s="4"/>
      <c r="Q58" s="3" t="str">
        <f t="array" aca="1" ref="Q58" ca="1">IF(D58="동팀",INDEX(팀,P58+1,3),INDEX(팀,P58+1+팀!H57,3))</f>
        <v>성명</v>
      </c>
    </row>
    <row r="59" spans="6:17" x14ac:dyDescent="0.3">
      <c r="F59" s="3"/>
      <c r="G59" s="4"/>
      <c r="Q59" s="3" t="str">
        <f t="array" aca="1" ref="Q59" ca="1">IF(D59="동팀",INDEX(팀,P59+1,3),INDEX(팀,P59+1+팀!H58,3))</f>
        <v>성명</v>
      </c>
    </row>
    <row r="60" spans="6:17" x14ac:dyDescent="0.3">
      <c r="F60" s="3"/>
      <c r="G60" s="4"/>
      <c r="Q60" s="3" t="str">
        <f t="array" aca="1" ref="Q60" ca="1">IF(D60="동팀",INDEX(팀,P60+1,3),INDEX(팀,P60+1+팀!H59,3))</f>
        <v>성명</v>
      </c>
    </row>
    <row r="61" spans="6:17" x14ac:dyDescent="0.3">
      <c r="F61" s="3"/>
      <c r="G61" s="4"/>
      <c r="Q61" s="3" t="str">
        <f t="array" aca="1" ref="Q61" ca="1">IF(D61="동팀",INDEX(팀,P61+1,3),INDEX(팀,P61+1+팀!H60,3))</f>
        <v>성명</v>
      </c>
    </row>
    <row r="62" spans="6:17" x14ac:dyDescent="0.3">
      <c r="F62" s="3"/>
      <c r="G62" s="4"/>
      <c r="Q62" s="3" t="str">
        <f t="array" aca="1" ref="Q62" ca="1">IF(D62="동팀",INDEX(팀,P62+1,3),INDEX(팀,P62+1+팀!H61,3))</f>
        <v>성명</v>
      </c>
    </row>
    <row r="63" spans="6:17" x14ac:dyDescent="0.3">
      <c r="F63" s="3"/>
      <c r="G63" s="4"/>
      <c r="Q63" s="3" t="str">
        <f t="array" aca="1" ref="Q63" ca="1">IF(D63="동팀",INDEX(팀,P63+1,3),INDEX(팀,P63+1+팀!H62,3))</f>
        <v>성명</v>
      </c>
    </row>
    <row r="64" spans="6:17" x14ac:dyDescent="0.3">
      <c r="F64" s="3"/>
      <c r="G64" s="4"/>
      <c r="Q64" s="3" t="str">
        <f t="array" aca="1" ref="Q64" ca="1">IF(D64="동팀",INDEX(팀,P64+1,3),INDEX(팀,P64+1+팀!H63,3))</f>
        <v>성명</v>
      </c>
    </row>
    <row r="65" spans="6:17" x14ac:dyDescent="0.3">
      <c r="F65" s="3"/>
      <c r="G65" s="4"/>
      <c r="Q65" s="3" t="str">
        <f t="array" aca="1" ref="Q65" ca="1">IF(D65="동팀",INDEX(팀,P65+1,3),INDEX(팀,P65+1+팀!H64,3))</f>
        <v>성명</v>
      </c>
    </row>
    <row r="66" spans="6:17" x14ac:dyDescent="0.3">
      <c r="F66" s="3"/>
      <c r="G66" s="4"/>
      <c r="Q66" s="3" t="str">
        <f t="array" aca="1" ref="Q66" ca="1">IF(D66="동팀",INDEX(팀,P66+1,3),INDEX(팀,P66+1+팀!H65,3))</f>
        <v>성명</v>
      </c>
    </row>
    <row r="67" spans="6:17" x14ac:dyDescent="0.3">
      <c r="F67" s="3"/>
      <c r="G67" s="4"/>
      <c r="Q67" s="3" t="str">
        <f t="array" aca="1" ref="Q67" ca="1">IF(D67="동팀",INDEX(팀,P67+1,3),INDEX(팀,P67+1+팀!H66,3))</f>
        <v>성명</v>
      </c>
    </row>
    <row r="68" spans="6:17" x14ac:dyDescent="0.3">
      <c r="F68" s="3"/>
      <c r="G68" s="4"/>
      <c r="Q68" s="3" t="str">
        <f t="array" aca="1" ref="Q68" ca="1">IF(D68="동팀",INDEX(팀,P68+1,3),INDEX(팀,P68+1+팀!H67,3))</f>
        <v>성명</v>
      </c>
    </row>
    <row r="69" spans="6:17" x14ac:dyDescent="0.3">
      <c r="F69" s="3"/>
      <c r="G69" s="4"/>
      <c r="Q69" s="3" t="str">
        <f t="array" aca="1" ref="Q69" ca="1">IF(D69="동팀",INDEX(팀,P69+1,3),INDEX(팀,P69+1+팀!H68,3))</f>
        <v>성명</v>
      </c>
    </row>
    <row r="70" spans="6:17" x14ac:dyDescent="0.3">
      <c r="F70" s="3"/>
      <c r="G70" s="4"/>
      <c r="Q70" s="3" t="str">
        <f t="array" aca="1" ref="Q70" ca="1">IF(D70="동팀",INDEX(팀,P70+1,3),INDEX(팀,P70+1+팀!H69,3))</f>
        <v>성명</v>
      </c>
    </row>
    <row r="71" spans="6:17" x14ac:dyDescent="0.3">
      <c r="F71" s="3"/>
      <c r="G71" s="4"/>
      <c r="Q71" s="3" t="str">
        <f t="array" aca="1" ref="Q71" ca="1">IF(D71="동팀",INDEX(팀,P71+1,3),INDEX(팀,P71+1+팀!H70,3))</f>
        <v>성명</v>
      </c>
    </row>
    <row r="72" spans="6:17" x14ac:dyDescent="0.3">
      <c r="F72" s="3"/>
      <c r="G72" s="4"/>
      <c r="Q72" s="3" t="str">
        <f t="array" aca="1" ref="Q72" ca="1">IF(D72="동팀",INDEX(팀,P72+1,3),INDEX(팀,P72+1+팀!H71,3))</f>
        <v>성명</v>
      </c>
    </row>
    <row r="73" spans="6:17" x14ac:dyDescent="0.3">
      <c r="F73" s="3"/>
      <c r="G73" s="4"/>
      <c r="Q73" s="3" t="str">
        <f t="array" aca="1" ref="Q73" ca="1">IF(D73="동팀",INDEX(팀,P73+1,3),INDEX(팀,P73+1+팀!H72,3))</f>
        <v>성명</v>
      </c>
    </row>
    <row r="74" spans="6:17" x14ac:dyDescent="0.3">
      <c r="F74" s="3"/>
      <c r="G74" s="4"/>
      <c r="Q74" s="3" t="str">
        <f t="array" aca="1" ref="Q74" ca="1">IF(D74="동팀",INDEX(팀,P74+1,3),INDEX(팀,P74+1+팀!H73,3))</f>
        <v>성명</v>
      </c>
    </row>
    <row r="75" spans="6:17" x14ac:dyDescent="0.3">
      <c r="F75" s="3"/>
      <c r="G75" s="4"/>
      <c r="Q75" s="3" t="str">
        <f t="array" aca="1" ref="Q75" ca="1">IF(D75="동팀",INDEX(팀,P75+1,3),INDEX(팀,P75+1+팀!H74,3))</f>
        <v>성명</v>
      </c>
    </row>
    <row r="76" spans="6:17" x14ac:dyDescent="0.3">
      <c r="F76" s="3"/>
      <c r="G76" s="4"/>
      <c r="Q76" s="3" t="str">
        <f t="array" aca="1" ref="Q76" ca="1">IF(D76="동팀",INDEX(팀,P76+1,3),INDEX(팀,P76+1+팀!H75,3))</f>
        <v>성명</v>
      </c>
    </row>
    <row r="77" spans="6:17" x14ac:dyDescent="0.3">
      <c r="F77" s="3"/>
      <c r="G77" s="4"/>
      <c r="Q77" s="3" t="str">
        <f t="array" aca="1" ref="Q77" ca="1">IF(D77="동팀",INDEX(팀,P77+1,3),INDEX(팀,P77+1+팀!H76,3))</f>
        <v>성명</v>
      </c>
    </row>
    <row r="78" spans="6:17" x14ac:dyDescent="0.3">
      <c r="F78" s="3"/>
      <c r="G78" s="4"/>
      <c r="Q78" s="3" t="str">
        <f t="array" aca="1" ref="Q78" ca="1">IF(D78="동팀",INDEX(팀,P78+1,3),INDEX(팀,P78+1+팀!H77,3))</f>
        <v>성명</v>
      </c>
    </row>
    <row r="79" spans="6:17" x14ac:dyDescent="0.3">
      <c r="F79" s="3"/>
      <c r="G79" s="4"/>
      <c r="Q79" s="3" t="str">
        <f t="array" aca="1" ref="Q79" ca="1">IF(D79="동팀",INDEX(팀,P79+1,3),INDEX(팀,P79+1+팀!H78,3))</f>
        <v>성명</v>
      </c>
    </row>
    <row r="80" spans="6:17" x14ac:dyDescent="0.3">
      <c r="F80" s="3"/>
      <c r="G80" s="4"/>
      <c r="Q80" s="3" t="str">
        <f t="array" aca="1" ref="Q80" ca="1">IF(D80="동팀",INDEX(팀,P80+1,3),INDEX(팀,P80+1+팀!H79,3))</f>
        <v>성명</v>
      </c>
    </row>
    <row r="81" spans="6:17" x14ac:dyDescent="0.3">
      <c r="F81" s="3"/>
      <c r="G81" s="4"/>
      <c r="Q81" s="3" t="str">
        <f t="array" aca="1" ref="Q81" ca="1">IF(D81="동팀",INDEX(팀,P81+1,3),INDEX(팀,P81+1+팀!H80,3))</f>
        <v>성명</v>
      </c>
    </row>
    <row r="82" spans="6:17" x14ac:dyDescent="0.3">
      <c r="F82" s="3"/>
      <c r="G82" s="4"/>
      <c r="Q82" s="3" t="str">
        <f t="array" aca="1" ref="Q82" ca="1">IF(D82="동팀",INDEX(팀,P82+1,3),INDEX(팀,P82+1+팀!H81,3))</f>
        <v>성명</v>
      </c>
    </row>
    <row r="83" spans="6:17" x14ac:dyDescent="0.3">
      <c r="F83" s="3"/>
      <c r="G83" s="4"/>
      <c r="Q83" s="3" t="str">
        <f t="array" aca="1" ref="Q83" ca="1">IF(D83="동팀",INDEX(팀,P83+1,3),INDEX(팀,P83+1+팀!H82,3))</f>
        <v>성명</v>
      </c>
    </row>
    <row r="84" spans="6:17" x14ac:dyDescent="0.3">
      <c r="F84" s="3"/>
      <c r="G84" s="4"/>
    </row>
    <row r="85" spans="6:17" x14ac:dyDescent="0.3">
      <c r="F85" s="3"/>
      <c r="G85" s="4"/>
    </row>
    <row r="86" spans="6:17" x14ac:dyDescent="0.3">
      <c r="F86" s="3"/>
      <c r="G86" s="4"/>
    </row>
    <row r="87" spans="6:17" x14ac:dyDescent="0.3">
      <c r="F87" s="3"/>
      <c r="G87" s="4"/>
    </row>
    <row r="88" spans="6:17" x14ac:dyDescent="0.3">
      <c r="F88" s="3"/>
      <c r="G88" s="4"/>
    </row>
    <row r="89" spans="6:17" x14ac:dyDescent="0.3">
      <c r="F89" s="3"/>
      <c r="G89" s="4"/>
    </row>
    <row r="90" spans="6:17" x14ac:dyDescent="0.3">
      <c r="F90" s="3"/>
      <c r="G90" s="4"/>
    </row>
    <row r="91" spans="6:17" x14ac:dyDescent="0.3">
      <c r="F91" s="3"/>
      <c r="G91" s="4"/>
    </row>
  </sheetData>
  <sortState ref="I2:K91">
    <sortCondition ref="I2"/>
  </sortState>
  <phoneticPr fontId="1" type="noConversion"/>
  <conditionalFormatting sqref="C20 F20:H20">
    <cfRule type="notContainsBlanks" dxfId="11" priority="13">
      <formula>LEN(TRIM(C20))&gt;0</formula>
    </cfRule>
  </conditionalFormatting>
  <conditionalFormatting sqref="F1">
    <cfRule type="notContainsBlanks" dxfId="10" priority="12">
      <formula>LEN(TRIM(F1))&gt;0</formula>
    </cfRule>
  </conditionalFormatting>
  <conditionalFormatting sqref="G1">
    <cfRule type="notContainsBlanks" dxfId="9" priority="11">
      <formula>LEN(TRIM(G1))&gt;0</formula>
    </cfRule>
  </conditionalFormatting>
  <conditionalFormatting sqref="D1">
    <cfRule type="notContainsBlanks" dxfId="8" priority="10">
      <formula>LEN(TRIM(D1))&gt;0</formula>
    </cfRule>
  </conditionalFormatting>
  <conditionalFormatting sqref="D20">
    <cfRule type="notContainsBlanks" dxfId="7" priority="9">
      <formula>LEN(TRIM(D20))&gt;0</formula>
    </cfRule>
  </conditionalFormatting>
  <conditionalFormatting sqref="E20">
    <cfRule type="notContainsBlanks" dxfId="6" priority="8">
      <formula>LEN(TRIM(E20))&gt;0</formula>
    </cfRule>
  </conditionalFormatting>
  <conditionalFormatting sqref="C24:D24">
    <cfRule type="notContainsBlanks" dxfId="5" priority="7">
      <formula>LEN(TRIM(C24))&gt;0</formula>
    </cfRule>
  </conditionalFormatting>
  <conditionalFormatting sqref="H1">
    <cfRule type="notContainsBlanks" dxfId="4" priority="6">
      <formula>LEN(TRIM(H1))&gt;0</formula>
    </cfRule>
  </conditionalFormatting>
  <conditionalFormatting sqref="I1">
    <cfRule type="notContainsBlanks" dxfId="3" priority="5">
      <formula>LEN(TRIM(I1))&gt;0</formula>
    </cfRule>
  </conditionalFormatting>
  <conditionalFormatting sqref="K1">
    <cfRule type="notContainsBlanks" dxfId="2" priority="4">
      <formula>LEN(TRIM(K1))&gt;0</formula>
    </cfRule>
  </conditionalFormatting>
  <conditionalFormatting sqref="N1">
    <cfRule type="notContainsBlanks" dxfId="1" priority="2">
      <formula>LEN(TRIM(N1))&gt;0</formula>
    </cfRule>
  </conditionalFormatting>
  <conditionalFormatting sqref="M1">
    <cfRule type="notContainsBlanks" dxfId="0" priority="1">
      <formula>LEN(TRIM(M1))&gt;0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55" zoomScaleNormal="55" workbookViewId="0">
      <selection activeCell="B1" sqref="B1"/>
    </sheetView>
  </sheetViews>
  <sheetFormatPr defaultColWidth="20.625" defaultRowHeight="200.1" customHeight="1" x14ac:dyDescent="0.3"/>
  <cols>
    <col min="1" max="16384" width="20.625" style="7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Main</vt:lpstr>
      <vt:lpstr>팀</vt:lpstr>
      <vt:lpstr>종목</vt:lpstr>
      <vt:lpstr>참가선수</vt:lpstr>
      <vt:lpstr>스케줄</vt:lpstr>
      <vt:lpstr>경기현황</vt:lpstr>
      <vt:lpstr>d</vt:lpstr>
      <vt:lpstr>dd</vt:lpstr>
      <vt:lpstr>d!Criteria</vt:lpstr>
      <vt:lpstr>d!Extract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JUNGBO04</cp:lastModifiedBy>
  <dcterms:created xsi:type="dcterms:W3CDTF">2020-11-02T05:27:45Z</dcterms:created>
  <dcterms:modified xsi:type="dcterms:W3CDTF">2022-01-16T06:27:06Z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4a2f5932-2f0a-477c-8c6b-e60f01a83206</vt:lpwstr>
  </property>
</Properties>
</file>