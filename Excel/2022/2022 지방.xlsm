
<file path=[Content_Types].xml><?xml version="1.0" encoding="utf-8"?>
<Types xmlns="http://schemas.openxmlformats.org/package/2006/content-types">
  <Default Extension="bin" ContentType="application/vnd.ms-office.activeX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4.xml" ContentType="application/vnd.ms-office.activeX+xml"/>
  <Override PartName="/xl/drawings/drawing3.xml" ContentType="application/vnd.openxmlformats-officedocument.drawing+xml"/>
  <Override PartName="/xl/activeX/activeX5.xml" ContentType="application/vnd.ms-office.activeX+xml"/>
  <Override PartName="/xl/drawings/drawing4.xml" ContentType="application/vnd.openxmlformats-officedocument.drawing+xml"/>
  <Override PartName="/xl/activeX/activeX6.xml" ContentType="application/vnd.ms-office.activeX+xml"/>
  <Override PartName="/xl/drawings/drawing5.xml" ContentType="application/vnd.openxmlformats-officedocument.drawing+xml"/>
  <Override PartName="/xl/activeX/activeX7.xml" ContentType="application/vnd.ms-office.activeX+xml"/>
  <Override PartName="/xl/drawings/drawing6.xml" ContentType="application/vnd.openxmlformats-officedocument.drawing+xml"/>
  <Override PartName="/xl/activeX/activeX8.xml" ContentType="application/vnd.ms-office.activeX+xml"/>
  <Override PartName="/xl/drawings/drawing7.xml" ContentType="application/vnd.openxmlformats-officedocument.drawing+xml"/>
  <Override PartName="/xl/activeX/activeX9.xml" ContentType="application/vnd.ms-office.activeX+xml"/>
  <Override PartName="/xl/activeX/activeX10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drawings/drawing8.xml" ContentType="application/vnd.openxmlformats-officedocument.drawing+xml"/>
  <Override PartName="/xl/activeX/activeX11.xml" ContentType="application/vnd.ms-office.activeX+xml"/>
  <Override PartName="/xl/activeX/activeX12.xml" ContentType="application/vnd.ms-office.activeX+xml"/>
  <Override PartName="/xl/timelines/timeline1.xml" ContentType="application/vnd.ms-excel.timeline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JUNGBO04\Desktop\2022 지방\1111\"/>
    </mc:Choice>
  </mc:AlternateContent>
  <bookViews>
    <workbookView xWindow="0" yWindow="0" windowWidth="28800" windowHeight="12285"/>
  </bookViews>
  <sheets>
    <sheet name="Main" sheetId="1" r:id="rId1"/>
    <sheet name="회원" sheetId="2" r:id="rId2"/>
    <sheet name="관광지" sheetId="3" r:id="rId3"/>
    <sheet name="패키지" sheetId="4" r:id="rId4"/>
    <sheet name="예약내역" sheetId="5" r:id="rId5"/>
    <sheet name="리뷰" sheetId="6" r:id="rId6"/>
    <sheet name="여행경로" sheetId="7" r:id="rId7"/>
    <sheet name="분석" sheetId="8" r:id="rId8"/>
    <sheet name="ㅇ" sheetId="9" state="hidden" r:id="rId9"/>
    <sheet name="ㅇㅇ" sheetId="10" state="hidden" r:id="rId10"/>
    <sheet name="ㅇㅇㅇ" sheetId="11" state="hidden" r:id="rId11"/>
  </sheets>
  <functionGroups builtInGroupCount="18"/>
  <definedNames>
    <definedName name="_xlnm._FilterDatabase" localSheetId="5" hidden="1">리뷰!$A$1:$E$290</definedName>
    <definedName name="_xlnm._FilterDatabase" localSheetId="4" hidden="1">예약내역!$A$1:$E$290</definedName>
    <definedName name="NativeTimeline_예약날짜">#N/A</definedName>
    <definedName name="경로">OFFSET(여행경로!$A$1,0,1,COUNTA(여행경로!$B:$B))</definedName>
    <definedName name="관광지">OFFSET(관광지!$A$1,1,0,COUNTA(관광지!$A:$A)-1,5)</definedName>
    <definedName name="관광지명">OFFSET(관광지!$A$1,1,0,COUNTA(관광지!$A:$A)-1,3)</definedName>
    <definedName name="예약내역">OFFSET(예약내역!$A$1,1,0,COUNTA(예약내역!$A:$A)-1,11)</definedName>
    <definedName name="지역">ㅇㅇ!$D$2:$E$18</definedName>
    <definedName name="패키지">OFFSET(패키지!$A$1,1,0,COUNTA(패키지!$A:$A)-1,5)</definedName>
    <definedName name="회원">OFFSET(회원!$A$1,1,0,COUNTA(회원!$A:$A)-1,6)</definedName>
  </definedNames>
  <calcPr calcId="162913"/>
  <pivotCaches>
    <pivotCache cacheId="0" r:id="rId12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3"/>
      </x15:timelineCacheRef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3" i="8" l="1"/>
  <c r="M3" i="8"/>
  <c r="L4" i="8"/>
  <c r="M4" i="8"/>
  <c r="L5" i="8"/>
  <c r="M5" i="8"/>
  <c r="L6" i="8"/>
  <c r="M6" i="8"/>
  <c r="L7" i="8"/>
  <c r="M7" i="8"/>
  <c r="L8" i="8"/>
  <c r="M8" i="8"/>
  <c r="L9" i="8"/>
  <c r="M9" i="8"/>
  <c r="L10" i="8"/>
  <c r="M10" i="8"/>
  <c r="L11" i="8"/>
  <c r="M11" i="8"/>
  <c r="L12" i="8"/>
  <c r="M12" i="8"/>
  <c r="L13" i="8"/>
  <c r="M13" i="8"/>
  <c r="L14" i="8"/>
  <c r="M14" i="8"/>
  <c r="L15" i="8"/>
  <c r="M15" i="8"/>
  <c r="L16" i="8"/>
  <c r="M16" i="8"/>
  <c r="L17" i="8"/>
  <c r="M17" i="8"/>
  <c r="L18" i="8"/>
  <c r="M18" i="8"/>
  <c r="L19" i="8"/>
  <c r="M19" i="8"/>
  <c r="L20" i="8"/>
  <c r="M20" i="8"/>
  <c r="L21" i="8"/>
  <c r="M21" i="8"/>
  <c r="L22" i="8"/>
  <c r="M22" i="8"/>
  <c r="L23" i="8"/>
  <c r="M23" i="8"/>
  <c r="L24" i="8"/>
  <c r="M24" i="8"/>
  <c r="L25" i="8"/>
  <c r="M25" i="8"/>
  <c r="L26" i="8"/>
  <c r="M26" i="8"/>
  <c r="L27" i="8"/>
  <c r="M27" i="8"/>
  <c r="L28" i="8"/>
  <c r="M28" i="8"/>
  <c r="L29" i="8"/>
  <c r="M29" i="8"/>
  <c r="L30" i="8"/>
  <c r="M30" i="8"/>
  <c r="L31" i="8"/>
  <c r="M31" i="8"/>
  <c r="L32" i="8"/>
  <c r="M32" i="8"/>
  <c r="L33" i="8"/>
  <c r="M33" i="8"/>
  <c r="L34" i="8"/>
  <c r="M34" i="8"/>
  <c r="L35" i="8"/>
  <c r="M35" i="8"/>
  <c r="L36" i="8"/>
  <c r="M36" i="8"/>
  <c r="L37" i="8"/>
  <c r="M37" i="8"/>
  <c r="L38" i="8"/>
  <c r="M38" i="8"/>
  <c r="L39" i="8"/>
  <c r="M39" i="8"/>
  <c r="L40" i="8"/>
  <c r="M40" i="8"/>
  <c r="L41" i="8"/>
  <c r="M41" i="8"/>
  <c r="L42" i="8"/>
  <c r="M42" i="8"/>
  <c r="L43" i="8"/>
  <c r="M43" i="8"/>
  <c r="L44" i="8"/>
  <c r="M44" i="8"/>
  <c r="L45" i="8"/>
  <c r="M45" i="8"/>
  <c r="L46" i="8"/>
  <c r="M46" i="8"/>
  <c r="L47" i="8"/>
  <c r="M47" i="8"/>
  <c r="L48" i="8"/>
  <c r="M48" i="8"/>
  <c r="L49" i="8"/>
  <c r="M49" i="8"/>
  <c r="L50" i="8"/>
  <c r="M50" i="8"/>
  <c r="L51" i="8"/>
  <c r="M51" i="8"/>
  <c r="L52" i="8"/>
  <c r="M52" i="8"/>
  <c r="L53" i="8"/>
  <c r="M53" i="8"/>
  <c r="L54" i="8"/>
  <c r="M54" i="8"/>
  <c r="L55" i="8"/>
  <c r="M55" i="8"/>
  <c r="L56" i="8"/>
  <c r="M56" i="8"/>
  <c r="L57" i="8"/>
  <c r="M57" i="8"/>
  <c r="L58" i="8"/>
  <c r="M58" i="8"/>
  <c r="L59" i="8"/>
  <c r="M59" i="8"/>
  <c r="L60" i="8"/>
  <c r="M60" i="8"/>
  <c r="L61" i="8"/>
  <c r="M61" i="8"/>
  <c r="L62" i="8"/>
  <c r="M62" i="8"/>
  <c r="L63" i="8"/>
  <c r="M63" i="8"/>
  <c r="L64" i="8"/>
  <c r="M64" i="8"/>
  <c r="L65" i="8"/>
  <c r="M65" i="8"/>
  <c r="L66" i="8"/>
  <c r="M66" i="8"/>
  <c r="L67" i="8"/>
  <c r="M67" i="8"/>
  <c r="L68" i="8"/>
  <c r="M68" i="8"/>
  <c r="L69" i="8"/>
  <c r="M69" i="8"/>
  <c r="L70" i="8"/>
  <c r="M70" i="8"/>
  <c r="L71" i="8"/>
  <c r="M71" i="8"/>
  <c r="L72" i="8"/>
  <c r="M72" i="8"/>
  <c r="L73" i="8"/>
  <c r="M73" i="8"/>
  <c r="L74" i="8"/>
  <c r="M74" i="8"/>
  <c r="L75" i="8"/>
  <c r="M75" i="8"/>
  <c r="L76" i="8"/>
  <c r="M76" i="8"/>
  <c r="L77" i="8"/>
  <c r="M77" i="8"/>
  <c r="L78" i="8"/>
  <c r="M78" i="8"/>
  <c r="L79" i="8"/>
  <c r="M79" i="8"/>
  <c r="L80" i="8"/>
  <c r="M80" i="8"/>
  <c r="L81" i="8"/>
  <c r="M81" i="8"/>
  <c r="L82" i="8"/>
  <c r="M82" i="8"/>
  <c r="L83" i="8"/>
  <c r="M83" i="8"/>
  <c r="L84" i="8"/>
  <c r="M84" i="8"/>
  <c r="L85" i="8"/>
  <c r="M85" i="8"/>
  <c r="L86" i="8"/>
  <c r="M86" i="8"/>
  <c r="L87" i="8"/>
  <c r="M87" i="8"/>
  <c r="L88" i="8"/>
  <c r="M88" i="8"/>
  <c r="L89" i="8"/>
  <c r="M89" i="8"/>
  <c r="L90" i="8"/>
  <c r="M90" i="8"/>
  <c r="L91" i="8"/>
  <c r="M91" i="8"/>
  <c r="L92" i="8"/>
  <c r="M92" i="8"/>
  <c r="L93" i="8"/>
  <c r="M93" i="8"/>
  <c r="L94" i="8"/>
  <c r="M94" i="8"/>
  <c r="L95" i="8"/>
  <c r="M95" i="8"/>
  <c r="L96" i="8"/>
  <c r="M96" i="8"/>
  <c r="L97" i="8"/>
  <c r="M97" i="8"/>
  <c r="L98" i="8"/>
  <c r="M98" i="8"/>
  <c r="L99" i="8"/>
  <c r="M99" i="8"/>
  <c r="L100" i="8"/>
  <c r="M100" i="8"/>
  <c r="L101" i="8"/>
  <c r="M101" i="8"/>
  <c r="L102" i="8"/>
  <c r="M102" i="8"/>
  <c r="L103" i="8"/>
  <c r="M103" i="8"/>
  <c r="L104" i="8"/>
  <c r="M104" i="8"/>
  <c r="L105" i="8"/>
  <c r="M105" i="8"/>
  <c r="L106" i="8"/>
  <c r="M106" i="8"/>
  <c r="L107" i="8"/>
  <c r="M107" i="8"/>
  <c r="L108" i="8"/>
  <c r="M108" i="8"/>
  <c r="L109" i="8"/>
  <c r="M109" i="8"/>
  <c r="L110" i="8"/>
  <c r="M110" i="8"/>
  <c r="L111" i="8"/>
  <c r="M111" i="8"/>
  <c r="L112" i="8"/>
  <c r="M112" i="8"/>
  <c r="L113" i="8"/>
  <c r="M113" i="8"/>
  <c r="L114" i="8"/>
  <c r="M114" i="8"/>
  <c r="L115" i="8"/>
  <c r="M115" i="8"/>
  <c r="L116" i="8"/>
  <c r="M116" i="8"/>
  <c r="L117" i="8"/>
  <c r="M117" i="8"/>
  <c r="L118" i="8"/>
  <c r="M118" i="8"/>
  <c r="L119" i="8"/>
  <c r="M119" i="8"/>
  <c r="L120" i="8"/>
  <c r="M120" i="8"/>
  <c r="L121" i="8"/>
  <c r="M121" i="8"/>
  <c r="L122" i="8"/>
  <c r="M122" i="8"/>
  <c r="L123" i="8"/>
  <c r="M123" i="8"/>
  <c r="L124" i="8"/>
  <c r="M124" i="8"/>
  <c r="L125" i="8"/>
  <c r="M125" i="8"/>
  <c r="L126" i="8"/>
  <c r="M126" i="8"/>
  <c r="L127" i="8"/>
  <c r="M127" i="8"/>
  <c r="L128" i="8"/>
  <c r="M128" i="8"/>
  <c r="L129" i="8"/>
  <c r="M129" i="8"/>
  <c r="L130" i="8"/>
  <c r="M130" i="8"/>
  <c r="L131" i="8"/>
  <c r="M131" i="8"/>
  <c r="L132" i="8"/>
  <c r="M132" i="8"/>
  <c r="L133" i="8"/>
  <c r="M133" i="8"/>
  <c r="L134" i="8"/>
  <c r="M134" i="8"/>
  <c r="L135" i="8"/>
  <c r="M135" i="8"/>
  <c r="L136" i="8"/>
  <c r="M136" i="8"/>
  <c r="L137" i="8"/>
  <c r="M137" i="8"/>
  <c r="L138" i="8"/>
  <c r="M138" i="8"/>
  <c r="L139" i="8"/>
  <c r="M139" i="8"/>
  <c r="L140" i="8"/>
  <c r="M140" i="8"/>
  <c r="L141" i="8"/>
  <c r="M141" i="8"/>
  <c r="L142" i="8"/>
  <c r="M142" i="8"/>
  <c r="L143" i="8"/>
  <c r="M143" i="8"/>
  <c r="L144" i="8"/>
  <c r="M144" i="8"/>
  <c r="L145" i="8"/>
  <c r="M145" i="8"/>
  <c r="L146" i="8"/>
  <c r="M146" i="8"/>
  <c r="L147" i="8"/>
  <c r="M147" i="8"/>
  <c r="L148" i="8"/>
  <c r="M148" i="8"/>
  <c r="L149" i="8"/>
  <c r="M149" i="8"/>
  <c r="L150" i="8"/>
  <c r="M150" i="8"/>
  <c r="L151" i="8"/>
  <c r="M151" i="8"/>
  <c r="L152" i="8"/>
  <c r="M152" i="8"/>
  <c r="L153" i="8"/>
  <c r="M153" i="8"/>
  <c r="L154" i="8"/>
  <c r="M154" i="8"/>
  <c r="L155" i="8"/>
  <c r="M155" i="8"/>
  <c r="L156" i="8"/>
  <c r="M156" i="8"/>
  <c r="L157" i="8"/>
  <c r="M157" i="8"/>
  <c r="L158" i="8"/>
  <c r="M158" i="8"/>
  <c r="L159" i="8"/>
  <c r="M159" i="8"/>
  <c r="L160" i="8"/>
  <c r="M160" i="8"/>
  <c r="L161" i="8"/>
  <c r="M161" i="8"/>
  <c r="L162" i="8"/>
  <c r="M162" i="8"/>
  <c r="L163" i="8"/>
  <c r="M163" i="8"/>
  <c r="L164" i="8"/>
  <c r="M164" i="8"/>
  <c r="L165" i="8"/>
  <c r="M165" i="8"/>
  <c r="L166" i="8"/>
  <c r="M166" i="8"/>
  <c r="L167" i="8"/>
  <c r="M167" i="8"/>
  <c r="L168" i="8"/>
  <c r="M168" i="8"/>
  <c r="L169" i="8"/>
  <c r="M169" i="8"/>
  <c r="L170" i="8"/>
  <c r="M170" i="8"/>
  <c r="L171" i="8"/>
  <c r="M171" i="8"/>
  <c r="L172" i="8"/>
  <c r="M172" i="8"/>
  <c r="L173" i="8"/>
  <c r="M173" i="8"/>
  <c r="L174" i="8"/>
  <c r="M174" i="8"/>
  <c r="L175" i="8"/>
  <c r="M175" i="8"/>
  <c r="L176" i="8"/>
  <c r="M176" i="8"/>
  <c r="L177" i="8"/>
  <c r="M177" i="8"/>
  <c r="L178" i="8"/>
  <c r="M178" i="8"/>
  <c r="L179" i="8"/>
  <c r="M179" i="8"/>
  <c r="L180" i="8"/>
  <c r="M180" i="8"/>
  <c r="L181" i="8"/>
  <c r="M181" i="8"/>
  <c r="L182" i="8"/>
  <c r="M182" i="8"/>
  <c r="L183" i="8"/>
  <c r="M183" i="8"/>
  <c r="L184" i="8"/>
  <c r="M184" i="8"/>
  <c r="L185" i="8"/>
  <c r="M185" i="8"/>
  <c r="L186" i="8"/>
  <c r="M186" i="8"/>
  <c r="L187" i="8"/>
  <c r="M187" i="8"/>
  <c r="L188" i="8"/>
  <c r="M188" i="8"/>
  <c r="L189" i="8"/>
  <c r="M189" i="8"/>
  <c r="L190" i="8"/>
  <c r="M190" i="8"/>
  <c r="L191" i="8"/>
  <c r="M191" i="8"/>
  <c r="L192" i="8"/>
  <c r="M192" i="8"/>
  <c r="L193" i="8"/>
  <c r="M193" i="8"/>
  <c r="L194" i="8"/>
  <c r="M194" i="8"/>
  <c r="L195" i="8"/>
  <c r="M195" i="8"/>
  <c r="L196" i="8"/>
  <c r="M196" i="8"/>
  <c r="L197" i="8"/>
  <c r="M197" i="8"/>
  <c r="L198" i="8"/>
  <c r="M198" i="8"/>
  <c r="L199" i="8"/>
  <c r="M199" i="8"/>
  <c r="L200" i="8"/>
  <c r="M200" i="8"/>
  <c r="L201" i="8"/>
  <c r="M201" i="8"/>
  <c r="L202" i="8"/>
  <c r="M202" i="8"/>
  <c r="L203" i="8"/>
  <c r="M203" i="8"/>
  <c r="L204" i="8"/>
  <c r="M204" i="8"/>
  <c r="L205" i="8"/>
  <c r="M205" i="8"/>
  <c r="L206" i="8"/>
  <c r="M206" i="8"/>
  <c r="L207" i="8"/>
  <c r="M207" i="8"/>
  <c r="L208" i="8"/>
  <c r="M208" i="8"/>
  <c r="L209" i="8"/>
  <c r="M209" i="8"/>
  <c r="L210" i="8"/>
  <c r="M210" i="8"/>
  <c r="L211" i="8"/>
  <c r="M211" i="8"/>
  <c r="L212" i="8"/>
  <c r="M212" i="8"/>
  <c r="L213" i="8"/>
  <c r="M213" i="8"/>
  <c r="L214" i="8"/>
  <c r="M214" i="8"/>
  <c r="L215" i="8"/>
  <c r="M215" i="8"/>
  <c r="L216" i="8"/>
  <c r="M216" i="8"/>
  <c r="L217" i="8"/>
  <c r="M217" i="8"/>
  <c r="L218" i="8"/>
  <c r="M218" i="8"/>
  <c r="L219" i="8"/>
  <c r="M219" i="8"/>
  <c r="L220" i="8"/>
  <c r="M220" i="8"/>
  <c r="L221" i="8"/>
  <c r="M221" i="8"/>
  <c r="L222" i="8"/>
  <c r="M222" i="8"/>
  <c r="L223" i="8"/>
  <c r="M223" i="8"/>
  <c r="L224" i="8"/>
  <c r="M224" i="8"/>
  <c r="L225" i="8"/>
  <c r="M225" i="8"/>
  <c r="L226" i="8"/>
  <c r="M226" i="8"/>
  <c r="L227" i="8"/>
  <c r="M227" i="8"/>
  <c r="L228" i="8"/>
  <c r="M228" i="8"/>
  <c r="L229" i="8"/>
  <c r="M229" i="8"/>
  <c r="L230" i="8"/>
  <c r="M230" i="8"/>
  <c r="L231" i="8"/>
  <c r="M231" i="8"/>
  <c r="L232" i="8"/>
  <c r="M232" i="8"/>
  <c r="L233" i="8"/>
  <c r="M233" i="8"/>
  <c r="L234" i="8"/>
  <c r="M234" i="8"/>
  <c r="L235" i="8"/>
  <c r="M235" i="8"/>
  <c r="L236" i="8"/>
  <c r="M236" i="8"/>
  <c r="L237" i="8"/>
  <c r="M237" i="8"/>
  <c r="L238" i="8"/>
  <c r="M238" i="8"/>
  <c r="L239" i="8"/>
  <c r="M239" i="8"/>
  <c r="L240" i="8"/>
  <c r="M240" i="8"/>
  <c r="L241" i="8"/>
  <c r="M241" i="8"/>
  <c r="L242" i="8"/>
  <c r="M242" i="8"/>
  <c r="L243" i="8"/>
  <c r="M243" i="8"/>
  <c r="L244" i="8"/>
  <c r="M244" i="8"/>
  <c r="L245" i="8"/>
  <c r="M245" i="8"/>
  <c r="L246" i="8"/>
  <c r="M246" i="8"/>
  <c r="L247" i="8"/>
  <c r="M247" i="8"/>
  <c r="L248" i="8"/>
  <c r="M248" i="8"/>
  <c r="L249" i="8"/>
  <c r="M249" i="8"/>
  <c r="L250" i="8"/>
  <c r="M250" i="8"/>
  <c r="L251" i="8"/>
  <c r="M251" i="8"/>
  <c r="L252" i="8"/>
  <c r="M252" i="8"/>
  <c r="L253" i="8"/>
  <c r="M253" i="8"/>
  <c r="L254" i="8"/>
  <c r="M254" i="8"/>
  <c r="L255" i="8"/>
  <c r="M255" i="8"/>
  <c r="L256" i="8"/>
  <c r="M256" i="8"/>
  <c r="L257" i="8"/>
  <c r="M257" i="8"/>
  <c r="L258" i="8"/>
  <c r="M258" i="8"/>
  <c r="L259" i="8"/>
  <c r="M259" i="8"/>
  <c r="L260" i="8"/>
  <c r="M260" i="8"/>
  <c r="L261" i="8"/>
  <c r="M261" i="8"/>
  <c r="L262" i="8"/>
  <c r="M262" i="8"/>
  <c r="L263" i="8"/>
  <c r="M263" i="8"/>
  <c r="L264" i="8"/>
  <c r="M264" i="8"/>
  <c r="L265" i="8"/>
  <c r="M265" i="8"/>
  <c r="L266" i="8"/>
  <c r="M266" i="8"/>
  <c r="L267" i="8"/>
  <c r="M267" i="8"/>
  <c r="L268" i="8"/>
  <c r="M268" i="8"/>
  <c r="L269" i="8"/>
  <c r="M269" i="8"/>
  <c r="L270" i="8"/>
  <c r="M270" i="8"/>
  <c r="L271" i="8"/>
  <c r="M271" i="8"/>
  <c r="L272" i="8"/>
  <c r="M272" i="8"/>
  <c r="L273" i="8"/>
  <c r="M273" i="8"/>
  <c r="L274" i="8"/>
  <c r="M274" i="8"/>
  <c r="L275" i="8"/>
  <c r="M275" i="8"/>
  <c r="L276" i="8"/>
  <c r="M276" i="8"/>
  <c r="L277" i="8"/>
  <c r="M277" i="8"/>
  <c r="L278" i="8"/>
  <c r="M278" i="8"/>
  <c r="L279" i="8"/>
  <c r="M279" i="8"/>
  <c r="L280" i="8"/>
  <c r="M280" i="8"/>
  <c r="L281" i="8"/>
  <c r="M281" i="8"/>
  <c r="L282" i="8"/>
  <c r="M282" i="8"/>
  <c r="L283" i="8"/>
  <c r="M283" i="8"/>
  <c r="L284" i="8"/>
  <c r="M284" i="8"/>
  <c r="L285" i="8"/>
  <c r="M285" i="8"/>
  <c r="L286" i="8"/>
  <c r="M286" i="8"/>
  <c r="L287" i="8"/>
  <c r="M287" i="8"/>
  <c r="L288" i="8"/>
  <c r="M288" i="8"/>
  <c r="L289" i="8"/>
  <c r="M289" i="8"/>
  <c r="L290" i="8"/>
  <c r="M290" i="8"/>
  <c r="M2" i="8"/>
  <c r="L2" i="8"/>
  <c r="N28" i="7" l="1"/>
  <c r="O28" i="7" s="1"/>
  <c r="P28" i="7" s="1"/>
  <c r="N29" i="7"/>
  <c r="O29" i="7" s="1"/>
  <c r="P29" i="7" s="1"/>
  <c r="N30" i="7"/>
  <c r="O30" i="7" s="1"/>
  <c r="P30" i="7" s="1"/>
  <c r="N31" i="7"/>
  <c r="O31" i="7" s="1"/>
  <c r="P31" i="7" s="1"/>
  <c r="N32" i="7"/>
  <c r="O32" i="7" s="1"/>
  <c r="P32" i="7" s="1"/>
  <c r="N33" i="7"/>
  <c r="O33" i="7" s="1"/>
  <c r="P33" i="7" s="1"/>
  <c r="N34" i="7"/>
  <c r="O34" i="7" s="1"/>
  <c r="P34" i="7" s="1"/>
  <c r="N27" i="7"/>
  <c r="O27" i="7" s="1"/>
  <c r="P27" i="7" s="1"/>
  <c r="S33" i="7" l="1"/>
  <c r="S32" i="7"/>
  <c r="S31" i="7"/>
  <c r="S30" i="7"/>
  <c r="S29" i="7"/>
  <c r="S34" i="7"/>
  <c r="S28" i="7"/>
  <c r="S27" i="7"/>
  <c r="T33" i="7"/>
  <c r="V33" i="7" s="1"/>
  <c r="T32" i="7"/>
  <c r="V32" i="7" s="1"/>
  <c r="T31" i="7"/>
  <c r="V31" i="7" s="1"/>
  <c r="T30" i="7"/>
  <c r="V30" i="7" s="1"/>
  <c r="T29" i="7"/>
  <c r="T28" i="7"/>
  <c r="T27" i="7"/>
  <c r="R28" i="7"/>
  <c r="R34" i="7"/>
  <c r="R30" i="7"/>
  <c r="R33" i="7"/>
  <c r="R32" i="7"/>
  <c r="R31" i="7"/>
  <c r="R29" i="7"/>
  <c r="R27" i="7"/>
  <c r="Q31" i="7"/>
  <c r="Q30" i="7"/>
  <c r="Q29" i="7"/>
  <c r="Q34" i="7"/>
  <c r="Q28" i="7"/>
  <c r="Q33" i="7"/>
  <c r="Q32" i="7"/>
  <c r="Q27" i="7"/>
  <c r="V28" i="7" l="1"/>
  <c r="V29" i="7"/>
  <c r="V27" i="7"/>
  <c r="U31" i="7"/>
  <c r="U30" i="7"/>
  <c r="U32" i="7"/>
  <c r="U33" i="7"/>
  <c r="U29" i="7"/>
  <c r="U28" i="7"/>
  <c r="U27" i="7"/>
  <c r="X27" i="7" l="1"/>
  <c r="X28" i="7" s="1"/>
  <c r="X29" i="7" s="1"/>
  <c r="X30" i="7" s="1"/>
  <c r="X31" i="7" s="1"/>
  <c r="X32" i="7" s="1"/>
  <c r="X33" i="7" s="1"/>
  <c r="V25" i="7"/>
  <c r="U25" i="7"/>
  <c r="W27" i="7"/>
  <c r="W28" i="7" s="1"/>
  <c r="W29" i="7" s="1"/>
  <c r="W30" i="7" s="1"/>
  <c r="W31" i="7" s="1"/>
  <c r="W32" i="7" s="1"/>
  <c r="W33" i="7" s="1"/>
  <c r="G28" i="7" l="1"/>
  <c r="H28" i="7" s="1"/>
  <c r="G29" i="7"/>
  <c r="G30" i="7"/>
  <c r="H30" i="7" s="1"/>
  <c r="G31" i="7"/>
  <c r="H31" i="7" s="1"/>
  <c r="G32" i="7"/>
  <c r="I32" i="7" s="1"/>
  <c r="G33" i="7"/>
  <c r="H33" i="7" s="1"/>
  <c r="G34" i="7"/>
  <c r="I34" i="7" s="1"/>
  <c r="G35" i="7"/>
  <c r="G36" i="7"/>
  <c r="H36" i="7" s="1"/>
  <c r="G37" i="7"/>
  <c r="I37" i="7" s="1"/>
  <c r="G38" i="7"/>
  <c r="H38" i="7" s="1"/>
  <c r="G39" i="7"/>
  <c r="H39" i="7" s="1"/>
  <c r="G40" i="7"/>
  <c r="H40" i="7" s="1"/>
  <c r="G41" i="7"/>
  <c r="G42" i="7"/>
  <c r="G43" i="7"/>
  <c r="I43" i="7" s="1"/>
  <c r="G27" i="7"/>
  <c r="J27" i="7" s="1"/>
  <c r="H34" i="7" l="1"/>
  <c r="H37" i="7"/>
  <c r="H32" i="7"/>
  <c r="I31" i="7"/>
  <c r="I28" i="7"/>
  <c r="H43" i="7"/>
  <c r="K42" i="7"/>
  <c r="J42" i="7"/>
  <c r="K41" i="7"/>
  <c r="J41" i="7"/>
  <c r="K35" i="7"/>
  <c r="J35" i="7"/>
  <c r="K29" i="7"/>
  <c r="J29" i="7"/>
  <c r="I39" i="7"/>
  <c r="I33" i="7"/>
  <c r="K27" i="7"/>
  <c r="J40" i="7"/>
  <c r="K40" i="7"/>
  <c r="J34" i="7"/>
  <c r="K34" i="7"/>
  <c r="J28" i="7"/>
  <c r="K28" i="7"/>
  <c r="I27" i="7"/>
  <c r="I38" i="7"/>
  <c r="J33" i="7"/>
  <c r="K33" i="7"/>
  <c r="H27" i="7"/>
  <c r="J39" i="7"/>
  <c r="K39" i="7"/>
  <c r="J38" i="7"/>
  <c r="K38" i="7"/>
  <c r="J32" i="7"/>
  <c r="K32" i="7"/>
  <c r="I42" i="7"/>
  <c r="I36" i="7"/>
  <c r="I30" i="7"/>
  <c r="J43" i="7"/>
  <c r="K43" i="7"/>
  <c r="J37" i="7"/>
  <c r="K37" i="7"/>
  <c r="J31" i="7"/>
  <c r="K31" i="7"/>
  <c r="H42" i="7"/>
  <c r="I41" i="7"/>
  <c r="I35" i="7"/>
  <c r="I29" i="7"/>
  <c r="K36" i="7"/>
  <c r="J36" i="7"/>
  <c r="K30" i="7"/>
  <c r="J30" i="7"/>
  <c r="H41" i="7"/>
  <c r="H35" i="7"/>
  <c r="H29" i="7"/>
  <c r="I40" i="7"/>
  <c r="D3" i="7"/>
  <c r="E17" i="4"/>
  <c r="E49" i="4"/>
  <c r="E33" i="4"/>
  <c r="E13" i="4"/>
  <c r="E3" i="4"/>
  <c r="E42" i="4"/>
  <c r="E9" i="4"/>
  <c r="E31" i="4"/>
  <c r="E5" i="4"/>
  <c r="E55" i="4"/>
  <c r="E41" i="4"/>
  <c r="E16" i="4"/>
  <c r="E54" i="4"/>
  <c r="E22" i="4"/>
  <c r="E47" i="4"/>
  <c r="E58" i="4"/>
  <c r="E53" i="4"/>
  <c r="E19" i="4"/>
  <c r="E4" i="4"/>
  <c r="E6" i="4"/>
  <c r="E39" i="4"/>
  <c r="E45" i="4"/>
  <c r="E11" i="4"/>
  <c r="E15" i="4"/>
  <c r="E18" i="4"/>
  <c r="E52" i="4"/>
  <c r="E38" i="4"/>
  <c r="E29" i="4"/>
  <c r="E27" i="4"/>
  <c r="E30" i="4"/>
  <c r="E35" i="4"/>
  <c r="E40" i="4"/>
  <c r="E48" i="4"/>
  <c r="E10" i="4"/>
  <c r="E25" i="4"/>
  <c r="E51" i="4"/>
  <c r="E20" i="4"/>
  <c r="E24" i="4"/>
  <c r="E14" i="4"/>
  <c r="E7" i="4"/>
  <c r="E32" i="4"/>
  <c r="E44" i="4"/>
  <c r="E2" i="4"/>
  <c r="E46" i="4"/>
  <c r="E28" i="4"/>
  <c r="E26" i="4"/>
  <c r="E37" i="4"/>
  <c r="E34" i="4"/>
  <c r="E43" i="4"/>
  <c r="E21" i="4"/>
  <c r="E23" i="4"/>
  <c r="E57" i="4"/>
  <c r="E50" i="4"/>
  <c r="E8" i="4"/>
  <c r="E56" i="4"/>
  <c r="E36" i="4"/>
  <c r="E12" i="4"/>
  <c r="J249" i="5" l="1"/>
  <c r="J125" i="5"/>
  <c r="J239" i="5"/>
  <c r="I125" i="5"/>
  <c r="J282" i="5"/>
  <c r="I239" i="5"/>
  <c r="I282" i="5"/>
  <c r="H125" i="5"/>
  <c r="H239" i="5"/>
  <c r="H282" i="5"/>
  <c r="J61" i="5"/>
  <c r="I61" i="5"/>
  <c r="H61" i="5"/>
  <c r="I249" i="5"/>
  <c r="H249" i="5"/>
  <c r="J56" i="5"/>
  <c r="J62" i="5"/>
  <c r="J182" i="5"/>
  <c r="I56" i="5"/>
  <c r="I62" i="5"/>
  <c r="J111" i="5"/>
  <c r="I111" i="5"/>
  <c r="J112" i="5"/>
  <c r="J191" i="5"/>
  <c r="I191" i="5"/>
  <c r="J36" i="5"/>
  <c r="I36" i="5"/>
  <c r="H112" i="5"/>
  <c r="H191" i="5"/>
  <c r="H36" i="5"/>
  <c r="I112" i="5"/>
  <c r="H62" i="5"/>
  <c r="I182" i="5"/>
  <c r="H56" i="5"/>
  <c r="H182" i="5"/>
  <c r="H111" i="5"/>
  <c r="J140" i="5"/>
  <c r="J171" i="5"/>
  <c r="J225" i="5"/>
  <c r="J106" i="5"/>
  <c r="J269" i="5"/>
  <c r="J78" i="5"/>
  <c r="J120" i="5"/>
  <c r="I78" i="5"/>
  <c r="I120" i="5"/>
  <c r="I121" i="5"/>
  <c r="I269" i="5"/>
  <c r="H106" i="5"/>
  <c r="J121" i="5"/>
  <c r="I106" i="5"/>
  <c r="I140" i="5"/>
  <c r="H269" i="5"/>
  <c r="J199" i="5"/>
  <c r="H78" i="5"/>
  <c r="H120" i="5"/>
  <c r="H121" i="5"/>
  <c r="H145" i="5"/>
  <c r="H199" i="5"/>
  <c r="I145" i="5"/>
  <c r="I171" i="5"/>
  <c r="I199" i="5"/>
  <c r="I225" i="5"/>
  <c r="H225" i="5"/>
  <c r="H171" i="5"/>
  <c r="H140" i="5"/>
  <c r="J145" i="5"/>
  <c r="J179" i="5"/>
  <c r="I179" i="5"/>
  <c r="J187" i="5"/>
  <c r="H179" i="5"/>
  <c r="I187" i="5"/>
  <c r="H187" i="5"/>
  <c r="J92" i="5"/>
  <c r="J146" i="5"/>
  <c r="I92" i="5"/>
  <c r="J275" i="5"/>
  <c r="I275" i="5"/>
  <c r="H275" i="5"/>
  <c r="I169" i="5"/>
  <c r="J169" i="5"/>
  <c r="H169" i="5"/>
  <c r="I146" i="5"/>
  <c r="H92" i="5"/>
  <c r="H146" i="5"/>
  <c r="J20" i="5"/>
  <c r="J188" i="5"/>
  <c r="I20" i="5"/>
  <c r="J3" i="5"/>
  <c r="J183" i="5"/>
  <c r="I3" i="5"/>
  <c r="J256" i="5"/>
  <c r="I183" i="5"/>
  <c r="H256" i="5"/>
  <c r="J91" i="5"/>
  <c r="I91" i="5"/>
  <c r="I188" i="5"/>
  <c r="H37" i="5"/>
  <c r="H91" i="5"/>
  <c r="J37" i="5"/>
  <c r="H188" i="5"/>
  <c r="I37" i="5"/>
  <c r="H3" i="5"/>
  <c r="H20" i="5"/>
  <c r="I256" i="5"/>
  <c r="H183" i="5"/>
  <c r="J207" i="5"/>
  <c r="J235" i="5"/>
  <c r="I235" i="5"/>
  <c r="H235" i="5"/>
  <c r="H207" i="5"/>
  <c r="I207" i="5"/>
  <c r="J196" i="5"/>
  <c r="J168" i="5"/>
  <c r="I168" i="5"/>
  <c r="H196" i="5"/>
  <c r="H168" i="5"/>
  <c r="I196" i="5"/>
  <c r="J272" i="5"/>
  <c r="J76" i="5"/>
  <c r="I76" i="5"/>
  <c r="J233" i="5"/>
  <c r="J251" i="5"/>
  <c r="J246" i="5"/>
  <c r="I233" i="5"/>
  <c r="I251" i="5"/>
  <c r="H76" i="5"/>
  <c r="H251" i="5"/>
  <c r="I246" i="5"/>
  <c r="H233" i="5"/>
  <c r="H246" i="5"/>
  <c r="I272" i="5"/>
  <c r="H272" i="5"/>
  <c r="J130" i="5"/>
  <c r="J23" i="5"/>
  <c r="J113" i="5"/>
  <c r="I23" i="5"/>
  <c r="I113" i="5"/>
  <c r="J42" i="5"/>
  <c r="J270" i="5"/>
  <c r="I42" i="5"/>
  <c r="H130" i="5"/>
  <c r="I130" i="5"/>
  <c r="I270" i="5"/>
  <c r="H23" i="5"/>
  <c r="H113" i="5"/>
  <c r="H42" i="5"/>
  <c r="H270" i="5"/>
  <c r="J242" i="5"/>
  <c r="J219" i="5"/>
  <c r="J226" i="5"/>
  <c r="I219" i="5"/>
  <c r="H226" i="5"/>
  <c r="I242" i="5"/>
  <c r="H242" i="5"/>
  <c r="I226" i="5"/>
  <c r="H219" i="5"/>
  <c r="J243" i="5"/>
  <c r="J100" i="5"/>
  <c r="J178" i="5"/>
  <c r="J220" i="5"/>
  <c r="I157" i="5"/>
  <c r="H100" i="5"/>
  <c r="H178" i="5"/>
  <c r="H220" i="5"/>
  <c r="J157" i="5"/>
  <c r="I220" i="5"/>
  <c r="I178" i="5"/>
  <c r="H157" i="5"/>
  <c r="I243" i="5"/>
  <c r="H243" i="5"/>
  <c r="I100" i="5"/>
  <c r="J176" i="5"/>
  <c r="J93" i="5"/>
  <c r="J255" i="5"/>
  <c r="I93" i="5"/>
  <c r="J244" i="5"/>
  <c r="J60" i="5"/>
  <c r="I60" i="5"/>
  <c r="H244" i="5"/>
  <c r="I176" i="5"/>
  <c r="H60" i="5"/>
  <c r="H181" i="5"/>
  <c r="I244" i="5"/>
  <c r="H255" i="5"/>
  <c r="I181" i="5"/>
  <c r="H176" i="5"/>
  <c r="H93" i="5"/>
  <c r="I255" i="5"/>
  <c r="J181" i="5"/>
  <c r="J81" i="5"/>
  <c r="I81" i="5"/>
  <c r="J124" i="5"/>
  <c r="J274" i="5"/>
  <c r="J43" i="5"/>
  <c r="I43" i="5"/>
  <c r="I193" i="5"/>
  <c r="I211" i="5"/>
  <c r="H124" i="5"/>
  <c r="H274" i="5"/>
  <c r="J193" i="5"/>
  <c r="I124" i="5"/>
  <c r="H43" i="5"/>
  <c r="H193" i="5"/>
  <c r="H211" i="5"/>
  <c r="J211" i="5"/>
  <c r="H81" i="5"/>
  <c r="J2" i="5"/>
  <c r="I274" i="5"/>
  <c r="I2" i="5"/>
  <c r="J32" i="5"/>
  <c r="I32" i="5"/>
  <c r="J15" i="5"/>
  <c r="I15" i="5"/>
  <c r="J41" i="5"/>
  <c r="I41" i="5"/>
  <c r="H41" i="5"/>
  <c r="H32" i="5"/>
  <c r="H15" i="5"/>
  <c r="J224" i="5"/>
  <c r="J123" i="5"/>
  <c r="J232" i="5"/>
  <c r="J262" i="5"/>
  <c r="J137" i="5"/>
  <c r="I137" i="5"/>
  <c r="J114" i="5"/>
  <c r="I114" i="5"/>
  <c r="H232" i="5"/>
  <c r="H262" i="5"/>
  <c r="H137" i="5"/>
  <c r="I123" i="5"/>
  <c r="I283" i="5"/>
  <c r="H114" i="5"/>
  <c r="I224" i="5"/>
  <c r="H283" i="5"/>
  <c r="H224" i="5"/>
  <c r="I262" i="5"/>
  <c r="J283" i="5"/>
  <c r="I232" i="5"/>
  <c r="H123" i="5"/>
  <c r="J14" i="5"/>
  <c r="I14" i="5"/>
  <c r="J209" i="5"/>
  <c r="I209" i="5"/>
  <c r="J192" i="5"/>
  <c r="J234" i="5"/>
  <c r="I192" i="5"/>
  <c r="J151" i="5"/>
  <c r="I234" i="5"/>
  <c r="H209" i="5"/>
  <c r="I151" i="5"/>
  <c r="H192" i="5"/>
  <c r="H234" i="5"/>
  <c r="H151" i="5"/>
  <c r="H14" i="5"/>
  <c r="J110" i="5"/>
  <c r="J134" i="5"/>
  <c r="I110" i="5"/>
  <c r="J195" i="5"/>
  <c r="J35" i="5"/>
  <c r="J71" i="5"/>
  <c r="J95" i="5"/>
  <c r="J131" i="5"/>
  <c r="I35" i="5"/>
  <c r="I71" i="5"/>
  <c r="I95" i="5"/>
  <c r="I131" i="5"/>
  <c r="H35" i="5"/>
  <c r="H71" i="5"/>
  <c r="H95" i="5"/>
  <c r="H131" i="5"/>
  <c r="I195" i="5"/>
  <c r="I134" i="5"/>
  <c r="H134" i="5"/>
  <c r="H195" i="5"/>
  <c r="H110" i="5"/>
  <c r="J200" i="5"/>
  <c r="J51" i="5"/>
  <c r="J147" i="5"/>
  <c r="I51" i="5"/>
  <c r="J89" i="5"/>
  <c r="I89" i="5"/>
  <c r="J108" i="5"/>
  <c r="I108" i="5"/>
  <c r="I147" i="5"/>
  <c r="H89" i="5"/>
  <c r="H108" i="5"/>
  <c r="I200" i="5"/>
  <c r="H147" i="5"/>
  <c r="H200" i="5"/>
  <c r="H51" i="5"/>
  <c r="J33" i="5"/>
  <c r="I33" i="5"/>
  <c r="J54" i="5"/>
  <c r="J138" i="5"/>
  <c r="J252" i="5"/>
  <c r="I54" i="5"/>
  <c r="I138" i="5"/>
  <c r="I252" i="5"/>
  <c r="H54" i="5"/>
  <c r="H138" i="5"/>
  <c r="H252" i="5"/>
  <c r="H33" i="5"/>
  <c r="J38" i="5"/>
  <c r="J128" i="5"/>
  <c r="I38" i="5"/>
  <c r="J202" i="5"/>
  <c r="J77" i="5"/>
  <c r="I77" i="5"/>
  <c r="H202" i="5"/>
  <c r="J49" i="5"/>
  <c r="J265" i="5"/>
  <c r="I49" i="5"/>
  <c r="I202" i="5"/>
  <c r="H77" i="5"/>
  <c r="I265" i="5"/>
  <c r="H49" i="5"/>
  <c r="H265" i="5"/>
  <c r="H38" i="5"/>
  <c r="H128" i="5"/>
  <c r="I128" i="5"/>
  <c r="J122" i="5"/>
  <c r="J158" i="5"/>
  <c r="J278" i="5"/>
  <c r="J135" i="5"/>
  <c r="J64" i="5"/>
  <c r="I64" i="5"/>
  <c r="J102" i="5"/>
  <c r="I102" i="5"/>
  <c r="H64" i="5"/>
  <c r="I122" i="5"/>
  <c r="I158" i="5"/>
  <c r="H102" i="5"/>
  <c r="I278" i="5"/>
  <c r="H278" i="5"/>
  <c r="H135" i="5"/>
  <c r="H122" i="5"/>
  <c r="H158" i="5"/>
  <c r="I135" i="5"/>
  <c r="J273" i="5"/>
  <c r="J34" i="5"/>
  <c r="J82" i="5"/>
  <c r="I34" i="5"/>
  <c r="I82" i="5"/>
  <c r="J24" i="5"/>
  <c r="I24" i="5"/>
  <c r="H34" i="5"/>
  <c r="H82" i="5"/>
  <c r="I241" i="5"/>
  <c r="H24" i="5"/>
  <c r="J241" i="5"/>
  <c r="H241" i="5"/>
  <c r="I273" i="5"/>
  <c r="H273" i="5"/>
  <c r="J45" i="5"/>
  <c r="J285" i="5"/>
  <c r="I45" i="5"/>
  <c r="J94" i="5"/>
  <c r="J150" i="5"/>
  <c r="J198" i="5"/>
  <c r="J204" i="5"/>
  <c r="I150" i="5"/>
  <c r="I198" i="5"/>
  <c r="I204" i="5"/>
  <c r="H94" i="5"/>
  <c r="H150" i="5"/>
  <c r="H198" i="5"/>
  <c r="H204" i="5"/>
  <c r="I94" i="5"/>
  <c r="H73" i="5"/>
  <c r="H45" i="5"/>
  <c r="J73" i="5"/>
  <c r="I285" i="5"/>
  <c r="H285" i="5"/>
  <c r="I73" i="5"/>
  <c r="J75" i="5"/>
  <c r="I75" i="5"/>
  <c r="J10" i="5"/>
  <c r="J52" i="5"/>
  <c r="I10" i="5"/>
  <c r="I52" i="5"/>
  <c r="J240" i="5"/>
  <c r="H10" i="5"/>
  <c r="H52" i="5"/>
  <c r="I240" i="5"/>
  <c r="H240" i="5"/>
  <c r="J25" i="5"/>
  <c r="I25" i="5"/>
  <c r="H25" i="5"/>
  <c r="H75" i="5"/>
  <c r="J227" i="5"/>
  <c r="I227" i="5"/>
  <c r="H227" i="5"/>
  <c r="J21" i="5"/>
  <c r="J153" i="5"/>
  <c r="I21" i="5"/>
  <c r="J190" i="5"/>
  <c r="J287" i="5"/>
  <c r="J79" i="5"/>
  <c r="I79" i="5"/>
  <c r="I287" i="5"/>
  <c r="H190" i="5"/>
  <c r="H79" i="5"/>
  <c r="H153" i="5"/>
  <c r="H21" i="5"/>
  <c r="H287" i="5"/>
  <c r="I153" i="5"/>
  <c r="I190" i="5"/>
  <c r="J129" i="5"/>
  <c r="J4" i="5"/>
  <c r="I4" i="5"/>
  <c r="J186" i="5"/>
  <c r="I186" i="5"/>
  <c r="I129" i="5"/>
  <c r="H4" i="5"/>
  <c r="H186" i="5"/>
  <c r="H31" i="5"/>
  <c r="J31" i="5"/>
  <c r="I31" i="5"/>
  <c r="H129" i="5"/>
  <c r="J44" i="5"/>
  <c r="I44" i="5"/>
  <c r="J203" i="5"/>
  <c r="J215" i="5"/>
  <c r="I203" i="5"/>
  <c r="I215" i="5"/>
  <c r="J174" i="5"/>
  <c r="I174" i="5"/>
  <c r="I139" i="5"/>
  <c r="H203" i="5"/>
  <c r="H215" i="5"/>
  <c r="H174" i="5"/>
  <c r="J139" i="5"/>
  <c r="H139" i="5"/>
  <c r="H44" i="5"/>
  <c r="J8" i="5"/>
  <c r="I8" i="5"/>
  <c r="J117" i="5"/>
  <c r="J177" i="5"/>
  <c r="I117" i="5"/>
  <c r="J132" i="5"/>
  <c r="I132" i="5"/>
  <c r="I177" i="5"/>
  <c r="H132" i="5"/>
  <c r="H8" i="5"/>
  <c r="H117" i="5"/>
  <c r="H177" i="5"/>
  <c r="J194" i="5"/>
  <c r="J99" i="5"/>
  <c r="I99" i="5"/>
  <c r="J167" i="5"/>
  <c r="J281" i="5"/>
  <c r="I167" i="5"/>
  <c r="I281" i="5"/>
  <c r="I194" i="5"/>
  <c r="H167" i="5"/>
  <c r="H99" i="5"/>
  <c r="H194" i="5"/>
  <c r="H281" i="5"/>
  <c r="J104" i="5"/>
  <c r="J218" i="5"/>
  <c r="I104" i="5"/>
  <c r="J149" i="5"/>
  <c r="I149" i="5"/>
  <c r="J7" i="5"/>
  <c r="I7" i="5"/>
  <c r="H149" i="5"/>
  <c r="H7" i="5"/>
  <c r="I218" i="5"/>
  <c r="H104" i="5"/>
  <c r="H218" i="5"/>
  <c r="J267" i="5"/>
  <c r="J5" i="5"/>
  <c r="J173" i="5"/>
  <c r="I5" i="5"/>
  <c r="I173" i="5"/>
  <c r="H5" i="5"/>
  <c r="H173" i="5"/>
  <c r="I267" i="5"/>
  <c r="H267" i="5"/>
  <c r="J72" i="5"/>
  <c r="I72" i="5"/>
  <c r="H72" i="5"/>
  <c r="J97" i="5"/>
  <c r="H97" i="5"/>
  <c r="H217" i="5"/>
  <c r="J217" i="5"/>
  <c r="I97" i="5"/>
  <c r="I217" i="5"/>
  <c r="J290" i="5"/>
  <c r="J9" i="5"/>
  <c r="I9" i="5"/>
  <c r="J184" i="5"/>
  <c r="J83" i="5"/>
  <c r="I83" i="5"/>
  <c r="H184" i="5"/>
  <c r="I184" i="5"/>
  <c r="H83" i="5"/>
  <c r="I290" i="5"/>
  <c r="H290" i="5"/>
  <c r="H9" i="5"/>
  <c r="J26" i="5"/>
  <c r="J266" i="5"/>
  <c r="I26" i="5"/>
  <c r="J261" i="5"/>
  <c r="I133" i="5"/>
  <c r="J133" i="5"/>
  <c r="I266" i="5"/>
  <c r="H133" i="5"/>
  <c r="I261" i="5"/>
  <c r="H26" i="5"/>
  <c r="H261" i="5"/>
  <c r="H266" i="5"/>
  <c r="J284" i="5"/>
  <c r="J263" i="5"/>
  <c r="J6" i="5"/>
  <c r="I6" i="5"/>
  <c r="J223" i="5"/>
  <c r="I263" i="5"/>
  <c r="H263" i="5"/>
  <c r="I109" i="5"/>
  <c r="I223" i="5"/>
  <c r="H6" i="5"/>
  <c r="I284" i="5"/>
  <c r="H109" i="5"/>
  <c r="H223" i="5"/>
  <c r="J109" i="5"/>
  <c r="H284" i="5"/>
  <c r="J119" i="5"/>
  <c r="J197" i="5"/>
  <c r="I119" i="5"/>
  <c r="I197" i="5"/>
  <c r="J126" i="5"/>
  <c r="J210" i="5"/>
  <c r="J258" i="5"/>
  <c r="I126" i="5"/>
  <c r="I210" i="5"/>
  <c r="I258" i="5"/>
  <c r="H119" i="5"/>
  <c r="H197" i="5"/>
  <c r="I289" i="5"/>
  <c r="H126" i="5"/>
  <c r="H210" i="5"/>
  <c r="H258" i="5"/>
  <c r="H289" i="5"/>
  <c r="J289" i="5"/>
  <c r="J170" i="5"/>
  <c r="J201" i="5"/>
  <c r="J231" i="5"/>
  <c r="J214" i="5"/>
  <c r="J268" i="5"/>
  <c r="I103" i="5"/>
  <c r="I201" i="5"/>
  <c r="H214" i="5"/>
  <c r="H268" i="5"/>
  <c r="I170" i="5"/>
  <c r="I214" i="5"/>
  <c r="H103" i="5"/>
  <c r="J103" i="5"/>
  <c r="H170" i="5"/>
  <c r="H201" i="5"/>
  <c r="I231" i="5"/>
  <c r="I268" i="5"/>
  <c r="H231" i="5"/>
  <c r="J50" i="5"/>
  <c r="I50" i="5"/>
  <c r="J39" i="5"/>
  <c r="I39" i="5"/>
  <c r="J155" i="5"/>
  <c r="I155" i="5"/>
  <c r="J90" i="5"/>
  <c r="I90" i="5"/>
  <c r="H155" i="5"/>
  <c r="J55" i="5"/>
  <c r="I55" i="5"/>
  <c r="I247" i="5"/>
  <c r="H90" i="5"/>
  <c r="J67" i="5"/>
  <c r="H55" i="5"/>
  <c r="H67" i="5"/>
  <c r="H247" i="5"/>
  <c r="J247" i="5"/>
  <c r="I67" i="5"/>
  <c r="H50" i="5"/>
  <c r="H39" i="5"/>
  <c r="J74" i="5"/>
  <c r="J80" i="5"/>
  <c r="J152" i="5"/>
  <c r="I74" i="5"/>
  <c r="I80" i="5"/>
  <c r="J142" i="5"/>
  <c r="J180" i="5"/>
  <c r="I180" i="5"/>
  <c r="H142" i="5"/>
  <c r="H180" i="5"/>
  <c r="I142" i="5"/>
  <c r="I152" i="5"/>
  <c r="H80" i="5"/>
  <c r="H152" i="5"/>
  <c r="H74" i="5"/>
  <c r="J68" i="5"/>
  <c r="I68" i="5"/>
  <c r="J141" i="5"/>
  <c r="J40" i="5"/>
  <c r="J46" i="5"/>
  <c r="J160" i="5"/>
  <c r="I40" i="5"/>
  <c r="I46" i="5"/>
  <c r="J245" i="5"/>
  <c r="J257" i="5"/>
  <c r="J12" i="5"/>
  <c r="I12" i="5"/>
  <c r="I245" i="5"/>
  <c r="I257" i="5"/>
  <c r="H40" i="5"/>
  <c r="H46" i="5"/>
  <c r="H160" i="5"/>
  <c r="H245" i="5"/>
  <c r="H257" i="5"/>
  <c r="I141" i="5"/>
  <c r="H12" i="5"/>
  <c r="I160" i="5"/>
  <c r="H68" i="5"/>
  <c r="H141" i="5"/>
  <c r="J116" i="5"/>
  <c r="I116" i="5"/>
  <c r="J213" i="5"/>
  <c r="J279" i="5"/>
  <c r="J222" i="5"/>
  <c r="I222" i="5"/>
  <c r="J115" i="5"/>
  <c r="I175" i="5"/>
  <c r="J127" i="5"/>
  <c r="I213" i="5"/>
  <c r="H222" i="5"/>
  <c r="H115" i="5"/>
  <c r="H127" i="5"/>
  <c r="H175" i="5"/>
  <c r="I115" i="5"/>
  <c r="I279" i="5"/>
  <c r="H116" i="5"/>
  <c r="H279" i="5"/>
  <c r="I127" i="5"/>
  <c r="H213" i="5"/>
  <c r="J175" i="5"/>
  <c r="J165" i="5"/>
  <c r="J58" i="5"/>
  <c r="I58" i="5"/>
  <c r="J18" i="5"/>
  <c r="J66" i="5"/>
  <c r="J96" i="5"/>
  <c r="J216" i="5"/>
  <c r="I18" i="5"/>
  <c r="I66" i="5"/>
  <c r="I96" i="5"/>
  <c r="I216" i="5"/>
  <c r="I165" i="5"/>
  <c r="H58" i="5"/>
  <c r="H18" i="5"/>
  <c r="H66" i="5"/>
  <c r="H96" i="5"/>
  <c r="H216" i="5"/>
  <c r="H165" i="5"/>
  <c r="J87" i="5"/>
  <c r="I87" i="5"/>
  <c r="J28" i="5"/>
  <c r="I28" i="5"/>
  <c r="J221" i="5"/>
  <c r="I221" i="5"/>
  <c r="H28" i="5"/>
  <c r="J229" i="5"/>
  <c r="H221" i="5"/>
  <c r="I229" i="5"/>
  <c r="H229" i="5"/>
  <c r="H87" i="5"/>
  <c r="J98" i="5"/>
  <c r="I98" i="5"/>
  <c r="J189" i="5"/>
  <c r="J280" i="5"/>
  <c r="J264" i="5"/>
  <c r="H280" i="5"/>
  <c r="I264" i="5"/>
  <c r="I205" i="5"/>
  <c r="H264" i="5"/>
  <c r="J205" i="5"/>
  <c r="H205" i="5"/>
  <c r="H98" i="5"/>
  <c r="I280" i="5"/>
  <c r="H189" i="5"/>
  <c r="I189" i="5"/>
  <c r="J105" i="5"/>
  <c r="I105" i="5"/>
  <c r="J13" i="5"/>
  <c r="I13" i="5"/>
  <c r="J271" i="5"/>
  <c r="I271" i="5"/>
  <c r="H13" i="5"/>
  <c r="H271" i="5"/>
  <c r="H105" i="5"/>
  <c r="J212" i="5"/>
  <c r="J17" i="5"/>
  <c r="J143" i="5"/>
  <c r="J161" i="5"/>
  <c r="I17" i="5"/>
  <c r="I143" i="5"/>
  <c r="I161" i="5"/>
  <c r="J85" i="5"/>
  <c r="I85" i="5"/>
  <c r="I212" i="5"/>
  <c r="H17" i="5"/>
  <c r="H143" i="5"/>
  <c r="H161" i="5"/>
  <c r="J163" i="5"/>
  <c r="I253" i="5"/>
  <c r="H85" i="5"/>
  <c r="H163" i="5"/>
  <c r="H253" i="5"/>
  <c r="H212" i="5"/>
  <c r="J253" i="5"/>
  <c r="I163" i="5"/>
  <c r="J164" i="5"/>
  <c r="J206" i="5"/>
  <c r="J118" i="5"/>
  <c r="J136" i="5"/>
  <c r="J172" i="5"/>
  <c r="J47" i="5"/>
  <c r="J107" i="5"/>
  <c r="I47" i="5"/>
  <c r="I107" i="5"/>
  <c r="H118" i="5"/>
  <c r="H136" i="5"/>
  <c r="H172" i="5"/>
  <c r="H47" i="5"/>
  <c r="H107" i="5"/>
  <c r="I206" i="5"/>
  <c r="H206" i="5"/>
  <c r="I172" i="5"/>
  <c r="I118" i="5"/>
  <c r="I164" i="5"/>
  <c r="H164" i="5"/>
  <c r="I136" i="5"/>
  <c r="J237" i="5"/>
  <c r="J11" i="5"/>
  <c r="I11" i="5"/>
  <c r="J84" i="5"/>
  <c r="J156" i="5"/>
  <c r="I84" i="5"/>
  <c r="I156" i="5"/>
  <c r="H11" i="5"/>
  <c r="H84" i="5"/>
  <c r="H156" i="5"/>
  <c r="I237" i="5"/>
  <c r="H237" i="5"/>
  <c r="J69" i="5"/>
  <c r="I69" i="5"/>
  <c r="J286" i="5"/>
  <c r="J185" i="5"/>
  <c r="I185" i="5"/>
  <c r="H286" i="5"/>
  <c r="H185" i="5"/>
  <c r="I286" i="5"/>
  <c r="H69" i="5"/>
  <c r="J63" i="5"/>
  <c r="I63" i="5"/>
  <c r="J144" i="5"/>
  <c r="J228" i="5"/>
  <c r="I144" i="5"/>
  <c r="J259" i="5"/>
  <c r="I228" i="5"/>
  <c r="I259" i="5"/>
  <c r="H144" i="5"/>
  <c r="H228" i="5"/>
  <c r="H259" i="5"/>
  <c r="H63" i="5"/>
  <c r="J236" i="5"/>
  <c r="J22" i="5"/>
  <c r="I22" i="5"/>
  <c r="J288" i="5"/>
  <c r="H22" i="5"/>
  <c r="I288" i="5"/>
  <c r="H288" i="5"/>
  <c r="I236" i="5"/>
  <c r="H236" i="5"/>
  <c r="J260" i="5"/>
  <c r="J57" i="5"/>
  <c r="I57" i="5"/>
  <c r="J70" i="5"/>
  <c r="J88" i="5"/>
  <c r="J148" i="5"/>
  <c r="J208" i="5"/>
  <c r="J250" i="5"/>
  <c r="I70" i="5"/>
  <c r="I88" i="5"/>
  <c r="J53" i="5"/>
  <c r="J59" i="5"/>
  <c r="J101" i="5"/>
  <c r="I53" i="5"/>
  <c r="I59" i="5"/>
  <c r="I101" i="5"/>
  <c r="H70" i="5"/>
  <c r="H88" i="5"/>
  <c r="H148" i="5"/>
  <c r="H208" i="5"/>
  <c r="H250" i="5"/>
  <c r="I148" i="5"/>
  <c r="H53" i="5"/>
  <c r="H59" i="5"/>
  <c r="H101" i="5"/>
  <c r="I260" i="5"/>
  <c r="H260" i="5"/>
  <c r="H57" i="5"/>
  <c r="I208" i="5"/>
  <c r="I250" i="5"/>
  <c r="J86" i="5"/>
  <c r="J230" i="5"/>
  <c r="J248" i="5"/>
  <c r="I86" i="5"/>
  <c r="J27" i="5"/>
  <c r="I27" i="5"/>
  <c r="J154" i="5"/>
  <c r="J238" i="5"/>
  <c r="J30" i="5"/>
  <c r="J276" i="5"/>
  <c r="I30" i="5"/>
  <c r="H154" i="5"/>
  <c r="H238" i="5"/>
  <c r="I276" i="5"/>
  <c r="H30" i="5"/>
  <c r="H276" i="5"/>
  <c r="I230" i="5"/>
  <c r="I248" i="5"/>
  <c r="H27" i="5"/>
  <c r="H86" i="5"/>
  <c r="H230" i="5"/>
  <c r="H248" i="5"/>
  <c r="I238" i="5"/>
  <c r="I154" i="5"/>
  <c r="J16" i="5"/>
  <c r="J166" i="5"/>
  <c r="I16" i="5"/>
  <c r="J29" i="5"/>
  <c r="I29" i="5"/>
  <c r="H16" i="5"/>
  <c r="H166" i="5"/>
  <c r="I166" i="5"/>
  <c r="H29" i="5"/>
  <c r="J19" i="5"/>
  <c r="I19" i="5"/>
  <c r="H19" i="5"/>
  <c r="J254" i="5"/>
  <c r="J159" i="5"/>
  <c r="J65" i="5"/>
  <c r="I65" i="5"/>
  <c r="J48" i="5"/>
  <c r="J162" i="5"/>
  <c r="I48" i="5"/>
  <c r="I162" i="5"/>
  <c r="H65" i="5"/>
  <c r="I159" i="5"/>
  <c r="I277" i="5"/>
  <c r="H48" i="5"/>
  <c r="H162" i="5"/>
  <c r="J277" i="5"/>
  <c r="I254" i="5"/>
  <c r="H277" i="5"/>
  <c r="H254" i="5"/>
  <c r="H159" i="5"/>
  <c r="H2" i="5"/>
  <c r="K125" i="5" l="1"/>
  <c r="K43" i="5"/>
  <c r="K220" i="5"/>
  <c r="K102" i="5"/>
  <c r="K15" i="5"/>
  <c r="K207" i="5"/>
  <c r="K179" i="5"/>
  <c r="K147" i="5"/>
  <c r="K159" i="5"/>
  <c r="K86" i="5"/>
  <c r="K57" i="5"/>
  <c r="K148" i="5"/>
  <c r="K228" i="5"/>
  <c r="K84" i="5"/>
  <c r="K85" i="5"/>
  <c r="K212" i="5"/>
  <c r="K161" i="5"/>
  <c r="K13" i="5"/>
  <c r="K280" i="5"/>
  <c r="K18" i="5"/>
  <c r="K115" i="5"/>
  <c r="K245" i="5"/>
  <c r="K40" i="5"/>
  <c r="K180" i="5"/>
  <c r="K74" i="5"/>
  <c r="K103" i="5"/>
  <c r="K258" i="5"/>
  <c r="K119" i="5"/>
  <c r="K26" i="5"/>
  <c r="K184" i="5"/>
  <c r="K217" i="5"/>
  <c r="K5" i="5"/>
  <c r="K218" i="5"/>
  <c r="K167" i="5"/>
  <c r="K8" i="5"/>
  <c r="K177" i="5"/>
  <c r="K129" i="5"/>
  <c r="K79" i="5"/>
  <c r="K190" i="5"/>
  <c r="K52" i="5"/>
  <c r="K45" i="5"/>
  <c r="K241" i="5"/>
  <c r="K34" i="5"/>
  <c r="K135" i="5"/>
  <c r="K38" i="5"/>
  <c r="K49" i="5"/>
  <c r="K131" i="5"/>
  <c r="K71" i="5"/>
  <c r="K234" i="5"/>
  <c r="K192" i="5"/>
  <c r="K283" i="5"/>
  <c r="K41" i="5"/>
  <c r="K255" i="5"/>
  <c r="K157" i="5"/>
  <c r="K100" i="5"/>
  <c r="K226" i="5"/>
  <c r="K23" i="5"/>
  <c r="K42" i="5"/>
  <c r="K168" i="5"/>
  <c r="K235" i="5"/>
  <c r="K188" i="5"/>
  <c r="K146" i="5"/>
  <c r="K275" i="5"/>
  <c r="K187" i="5"/>
  <c r="K145" i="5"/>
  <c r="K171" i="5"/>
  <c r="K106" i="5"/>
  <c r="K111" i="5"/>
  <c r="K36" i="5"/>
  <c r="K191" i="5"/>
  <c r="K239" i="5"/>
  <c r="K165" i="5"/>
  <c r="K39" i="5"/>
  <c r="K31" i="5"/>
  <c r="K134" i="5"/>
  <c r="K256" i="5"/>
  <c r="K20" i="5"/>
  <c r="K169" i="5"/>
  <c r="K120" i="5"/>
  <c r="K249" i="5"/>
  <c r="K209" i="5"/>
  <c r="K225" i="5"/>
  <c r="K77" i="5"/>
  <c r="K101" i="5"/>
  <c r="K182" i="5"/>
  <c r="K24" i="5"/>
  <c r="K158" i="5"/>
  <c r="K252" i="5"/>
  <c r="K51" i="5"/>
  <c r="K137" i="5"/>
  <c r="K60" i="5"/>
  <c r="K243" i="5"/>
  <c r="K196" i="5"/>
  <c r="K200" i="5"/>
  <c r="K211" i="5"/>
  <c r="K202" i="5"/>
  <c r="K108" i="5"/>
  <c r="K195" i="5"/>
  <c r="K32" i="5"/>
  <c r="K274" i="5"/>
  <c r="K14" i="5"/>
  <c r="K219" i="5"/>
  <c r="K263" i="5"/>
  <c r="K33" i="5"/>
  <c r="K114" i="5"/>
  <c r="K130" i="5"/>
  <c r="K246" i="5"/>
  <c r="K233" i="5"/>
  <c r="K121" i="5"/>
  <c r="K56" i="5"/>
  <c r="K127" i="5"/>
  <c r="K194" i="5"/>
  <c r="K139" i="5"/>
  <c r="K285" i="5"/>
  <c r="K201" i="5"/>
  <c r="K261" i="5"/>
  <c r="K72" i="5"/>
  <c r="K4" i="5"/>
  <c r="K227" i="5"/>
  <c r="K151" i="5"/>
  <c r="K170" i="5"/>
  <c r="K149" i="5"/>
  <c r="K44" i="5"/>
  <c r="K204" i="5"/>
  <c r="K107" i="5"/>
  <c r="K290" i="5"/>
  <c r="K174" i="5"/>
  <c r="K240" i="5"/>
  <c r="K98" i="5"/>
  <c r="K55" i="5"/>
  <c r="K266" i="5"/>
  <c r="K97" i="5"/>
  <c r="K203" i="5"/>
  <c r="K186" i="5"/>
  <c r="K287" i="5"/>
  <c r="K153" i="5"/>
  <c r="K25" i="5"/>
  <c r="K94" i="5"/>
  <c r="K128" i="5"/>
  <c r="K242" i="5"/>
  <c r="K144" i="5"/>
  <c r="K268" i="5"/>
  <c r="K109" i="5"/>
  <c r="K166" i="5"/>
  <c r="K237" i="5"/>
  <c r="K236" i="5"/>
  <c r="K154" i="5"/>
  <c r="K260" i="5"/>
  <c r="K69" i="5"/>
  <c r="K11" i="5"/>
  <c r="K118" i="5"/>
  <c r="K271" i="5"/>
  <c r="K16" i="5"/>
  <c r="K250" i="5"/>
  <c r="K59" i="5"/>
  <c r="K286" i="5"/>
  <c r="K172" i="5"/>
  <c r="K253" i="5"/>
  <c r="K143" i="5"/>
  <c r="K58" i="5"/>
  <c r="K279" i="5"/>
  <c r="K222" i="5"/>
  <c r="K12" i="5"/>
  <c r="K160" i="5"/>
  <c r="K152" i="5"/>
  <c r="K247" i="5"/>
  <c r="K155" i="5"/>
  <c r="K231" i="5"/>
  <c r="K210" i="5"/>
  <c r="K9" i="5"/>
  <c r="K267" i="5"/>
  <c r="K7" i="5"/>
  <c r="K132" i="5"/>
  <c r="K215" i="5"/>
  <c r="K21" i="5"/>
  <c r="K75" i="5"/>
  <c r="K10" i="5"/>
  <c r="K73" i="5"/>
  <c r="K150" i="5"/>
  <c r="K273" i="5"/>
  <c r="K64" i="5"/>
  <c r="K278" i="5"/>
  <c r="K265" i="5"/>
  <c r="K54" i="5"/>
  <c r="K89" i="5"/>
  <c r="K95" i="5"/>
  <c r="K35" i="5"/>
  <c r="K123" i="5"/>
  <c r="K224" i="5"/>
  <c r="K193" i="5"/>
  <c r="K81" i="5"/>
  <c r="K181" i="5"/>
  <c r="K244" i="5"/>
  <c r="K93" i="5"/>
  <c r="K178" i="5"/>
  <c r="K270" i="5"/>
  <c r="K113" i="5"/>
  <c r="K251" i="5"/>
  <c r="K37" i="5"/>
  <c r="K91" i="5"/>
  <c r="K183" i="5"/>
  <c r="K92" i="5"/>
  <c r="K140" i="5"/>
  <c r="K199" i="5"/>
  <c r="K112" i="5"/>
  <c r="K62" i="5"/>
  <c r="K282" i="5"/>
  <c r="K82" i="5"/>
  <c r="K76" i="5"/>
  <c r="K269" i="5"/>
  <c r="K61" i="5"/>
  <c r="K136" i="5"/>
  <c r="K163" i="5"/>
  <c r="K87" i="5"/>
  <c r="K110" i="5"/>
  <c r="K27" i="5"/>
  <c r="K206" i="5"/>
  <c r="K213" i="5"/>
  <c r="K281" i="5"/>
  <c r="K276" i="5"/>
  <c r="K96" i="5"/>
  <c r="K2" i="5"/>
  <c r="K162" i="5"/>
  <c r="K232" i="5"/>
  <c r="K272" i="5"/>
  <c r="K238" i="5"/>
  <c r="K30" i="5"/>
  <c r="K208" i="5"/>
  <c r="K53" i="5"/>
  <c r="K22" i="5"/>
  <c r="K164" i="5"/>
  <c r="K17" i="5"/>
  <c r="K221" i="5"/>
  <c r="K216" i="5"/>
  <c r="K66" i="5"/>
  <c r="K175" i="5"/>
  <c r="K46" i="5"/>
  <c r="K80" i="5"/>
  <c r="K214" i="5"/>
  <c r="K126" i="5"/>
  <c r="K133" i="5"/>
  <c r="K88" i="5"/>
  <c r="K156" i="5"/>
  <c r="K257" i="5"/>
  <c r="K90" i="5"/>
  <c r="K277" i="5"/>
  <c r="K19" i="5"/>
  <c r="K70" i="5"/>
  <c r="K185" i="5"/>
  <c r="K205" i="5"/>
  <c r="K68" i="5"/>
  <c r="K67" i="5"/>
  <c r="K50" i="5"/>
  <c r="K124" i="5"/>
  <c r="K3" i="5"/>
  <c r="K65" i="5"/>
  <c r="K230" i="5"/>
  <c r="K259" i="5"/>
  <c r="K189" i="5"/>
  <c r="K142" i="5"/>
  <c r="K197" i="5"/>
  <c r="K223" i="5"/>
  <c r="K83" i="5"/>
  <c r="K104" i="5"/>
  <c r="K117" i="5"/>
  <c r="K198" i="5"/>
  <c r="K29" i="5"/>
  <c r="K63" i="5"/>
  <c r="K105" i="5"/>
  <c r="K229" i="5"/>
  <c r="K116" i="5"/>
  <c r="K262" i="5"/>
  <c r="K78" i="5"/>
  <c r="K254" i="5"/>
  <c r="K264" i="5"/>
  <c r="K28" i="5"/>
  <c r="K141" i="5"/>
  <c r="K289" i="5"/>
  <c r="K284" i="5"/>
  <c r="K173" i="5"/>
  <c r="K48" i="5"/>
  <c r="K122" i="5"/>
  <c r="K138" i="5"/>
  <c r="K176" i="5"/>
  <c r="K248" i="5"/>
  <c r="K288" i="5"/>
  <c r="K47" i="5"/>
  <c r="K6" i="5"/>
  <c r="K99" i="5"/>
  <c r="M1" i="2"/>
  <c r="F28" i="2" l="1"/>
  <c r="F25" i="2"/>
  <c r="F19" i="2"/>
  <c r="F5" i="2"/>
  <c r="F16" i="2"/>
  <c r="F11" i="2"/>
  <c r="F8" i="2"/>
  <c r="F13" i="2"/>
  <c r="F10" i="2"/>
  <c r="F20" i="2"/>
  <c r="F9" i="2"/>
  <c r="F26" i="2"/>
  <c r="F12" i="2"/>
  <c r="F3" i="2"/>
  <c r="F27" i="2"/>
  <c r="F18" i="2"/>
  <c r="F24" i="2"/>
  <c r="F21" i="2"/>
  <c r="F4" i="2"/>
  <c r="F7" i="2"/>
  <c r="F2" i="2"/>
  <c r="F14" i="2"/>
  <c r="F15" i="2"/>
  <c r="F22" i="2"/>
  <c r="F17" i="2"/>
  <c r="F6" i="2"/>
  <c r="F23" i="2"/>
</calcChain>
</file>

<file path=xl/sharedStrings.xml><?xml version="1.0" encoding="utf-8"?>
<sst xmlns="http://schemas.openxmlformats.org/spreadsheetml/2006/main" count="982" uniqueCount="682">
  <si>
    <t>번호</t>
  </si>
  <si>
    <t>아이디</t>
  </si>
  <si>
    <t>비밀번호</t>
  </si>
  <si>
    <t>이름</t>
  </si>
  <si>
    <t>이메일</t>
  </si>
  <si>
    <t>rlsmd1</t>
  </si>
  <si>
    <t>rlsmd1!</t>
  </si>
  <si>
    <t>감예쁨</t>
  </si>
  <si>
    <t>rlsmd7@skills.com</t>
  </si>
  <si>
    <t>rlsmd2</t>
  </si>
  <si>
    <t>rlsmd2!</t>
  </si>
  <si>
    <t>강딸기</t>
  </si>
  <si>
    <t>rlsmd25@skills.com</t>
  </si>
  <si>
    <t>rlsmd3</t>
  </si>
  <si>
    <t>rlsmd3!</t>
  </si>
  <si>
    <t>김경영</t>
  </si>
  <si>
    <t>rlsmd17@skills.com</t>
  </si>
  <si>
    <t>rlsmd4</t>
  </si>
  <si>
    <t>rlsmd4!</t>
  </si>
  <si>
    <t>김설아</t>
  </si>
  <si>
    <t>rlsmd10@skills.com</t>
  </si>
  <si>
    <t>rlsmd5</t>
  </si>
  <si>
    <t>rlsmd5!</t>
  </si>
  <si>
    <t>김성대</t>
  </si>
  <si>
    <t>rlsmd12@skills.com</t>
  </si>
  <si>
    <t>rlsmd6</t>
  </si>
  <si>
    <t>rlsmd6!</t>
  </si>
  <si>
    <t>김성숙</t>
  </si>
  <si>
    <t>rlsmd5@skills.com</t>
  </si>
  <si>
    <t>rlsmd7</t>
  </si>
  <si>
    <t>rlsmd7!</t>
  </si>
  <si>
    <t>김숙희</t>
  </si>
  <si>
    <t>rlsmd20@skills.com</t>
  </si>
  <si>
    <t>rlsmd8</t>
  </si>
  <si>
    <t>rlsmd8!</t>
  </si>
  <si>
    <t>김연우</t>
  </si>
  <si>
    <t>rlsmd22@skills.com</t>
  </si>
  <si>
    <t>rlsmd9</t>
  </si>
  <si>
    <t>rlsmd9!</t>
  </si>
  <si>
    <t>김철수</t>
  </si>
  <si>
    <t>rlsmd2@skills.com</t>
  </si>
  <si>
    <t>rlsmd10</t>
  </si>
  <si>
    <t>rlsmd10!</t>
  </si>
  <si>
    <t>나종대</t>
  </si>
  <si>
    <t>rlsmd11@skills.com</t>
  </si>
  <si>
    <t>rlsmd11</t>
  </si>
  <si>
    <t>rlsmd11!</t>
  </si>
  <si>
    <t>남정휴</t>
  </si>
  <si>
    <t>rlsmd19@skills.com</t>
  </si>
  <si>
    <t>rlsmd12</t>
  </si>
  <si>
    <t>rlsmd12!</t>
  </si>
  <si>
    <t>박아름</t>
  </si>
  <si>
    <t>rlsmd3@skills.com</t>
  </si>
  <si>
    <t>rlsmd13</t>
  </si>
  <si>
    <t>rlsmd13!</t>
  </si>
  <si>
    <t>박지성</t>
  </si>
  <si>
    <t>rlsmd16@skills.com</t>
  </si>
  <si>
    <t>rlsmd14</t>
  </si>
  <si>
    <t>rlsmd14!</t>
  </si>
  <si>
    <t>배보라</t>
  </si>
  <si>
    <t>rlsmd8@skills.com</t>
  </si>
  <si>
    <t>rlsmd15</t>
  </si>
  <si>
    <t>rlsmd15!</t>
  </si>
  <si>
    <t>변백현</t>
  </si>
  <si>
    <t>rlsmd23@skills.com</t>
  </si>
  <si>
    <t>rlsmd16</t>
  </si>
  <si>
    <t>rlsmd16!</t>
  </si>
  <si>
    <t>유하나</t>
  </si>
  <si>
    <t>rlsmd13@skills.com</t>
  </si>
  <si>
    <t>rlsmd17</t>
  </si>
  <si>
    <t>rlsmd17!</t>
  </si>
  <si>
    <t>윤산하</t>
  </si>
  <si>
    <t>rlsmd27@skills.com</t>
  </si>
  <si>
    <t>rlsmd18</t>
  </si>
  <si>
    <t>rlsmd18!</t>
  </si>
  <si>
    <t>이상구</t>
  </si>
  <si>
    <t>rlsmd18@skills.com</t>
  </si>
  <si>
    <t>rlsmd19</t>
  </si>
  <si>
    <t>rlsmd19!</t>
  </si>
  <si>
    <t>이소윤</t>
  </si>
  <si>
    <t>rlsmd24@skills.com</t>
  </si>
  <si>
    <t>rlsmd20</t>
  </si>
  <si>
    <t>rlsmd20!</t>
  </si>
  <si>
    <t>이영주</t>
  </si>
  <si>
    <t>rlsmd26@skills.com</t>
  </si>
  <si>
    <t>rlsmd21</t>
  </si>
  <si>
    <t>rlsmd21!</t>
  </si>
  <si>
    <t>전자미</t>
  </si>
  <si>
    <t>rlsmd15@skills.com</t>
  </si>
  <si>
    <t>rlsmd22</t>
  </si>
  <si>
    <t>rlsmd22!</t>
  </si>
  <si>
    <t>조민성</t>
  </si>
  <si>
    <t>rlsmd9@skills.com</t>
  </si>
  <si>
    <t>rlsmd23</t>
  </si>
  <si>
    <t>rlsmd23!</t>
  </si>
  <si>
    <t>조아영</t>
  </si>
  <si>
    <t>rlsmd6@skills.com</t>
  </si>
  <si>
    <t>rlsmd24</t>
  </si>
  <si>
    <t>rlsmd24!</t>
  </si>
  <si>
    <t>하주연</t>
  </si>
  <si>
    <t>rlsmd14@skills.com</t>
  </si>
  <si>
    <t>rlsmd25</t>
  </si>
  <si>
    <t>rlsmd25!</t>
  </si>
  <si>
    <t>홍길동</t>
  </si>
  <si>
    <t>rlsmd26</t>
  </si>
  <si>
    <t>rlsmd26!</t>
  </si>
  <si>
    <t>홍성장</t>
  </si>
  <si>
    <t>rlsmd21@skills.com</t>
  </si>
  <si>
    <t>rlsmd27</t>
  </si>
  <si>
    <t>rlsmd27!</t>
  </si>
  <si>
    <t>홍아람</t>
  </si>
  <si>
    <t>rlsmd4@skills.com</t>
  </si>
  <si>
    <t>시도</t>
  </si>
  <si>
    <t>관광지명</t>
    <phoneticPr fontId="1" type="noConversion"/>
  </si>
  <si>
    <t>입장료</t>
  </si>
  <si>
    <t>소개</t>
  </si>
  <si>
    <t>강원</t>
  </si>
  <si>
    <t>고니골빛축제</t>
  </si>
  <si>
    <t>LED불빛등 빛 축제, 눈썰매장</t>
  </si>
  <si>
    <t>강릉문화재야행</t>
  </si>
  <si>
    <t>문화재 및 공연, 스탬프 투어</t>
  </si>
  <si>
    <t>춘천마임축제</t>
  </si>
  <si>
    <t>현대 마임과 신체극, 무용극</t>
  </si>
  <si>
    <t>강릉 세계합창대회</t>
  </si>
  <si>
    <t>강릉멋쟁이</t>
  </si>
  <si>
    <t>강원랜드</t>
  </si>
  <si>
    <t>국내 카지노, 워터월드 등</t>
  </si>
  <si>
    <t>경기</t>
  </si>
  <si>
    <t>푸드앤비어 페스티벌</t>
  </si>
  <si>
    <t xml:space="preserve">관광형 맛집투어, 토크콘서트 </t>
  </si>
  <si>
    <t>행주가 예술이야</t>
  </si>
  <si>
    <t>아기자기한 작은 영화제, 숲속 음악회</t>
  </si>
  <si>
    <t>임진각</t>
  </si>
  <si>
    <t>장단역 증기기관차, 평화의 종</t>
  </si>
  <si>
    <t>한국문화축제</t>
  </si>
  <si>
    <t>글로벌 대표 한류 축제</t>
  </si>
  <si>
    <t>신륵사</t>
  </si>
  <si>
    <t>황포 돛배, 전통 가마 체험장</t>
  </si>
  <si>
    <t>경남</t>
  </si>
  <si>
    <t>남해독일마을</t>
  </si>
  <si>
    <t>독일거주 교포들이 한국에 정착할 수 있도록 해줌</t>
  </si>
  <si>
    <t>통영해저터널</t>
  </si>
  <si>
    <t>동양 최초의 바다 밑 터널</t>
  </si>
  <si>
    <t>욕지도</t>
  </si>
  <si>
    <t>출렁다리, 모노레일, 욕지도일주버스 등</t>
  </si>
  <si>
    <t>지리산</t>
  </si>
  <si>
    <t>우리나라 최초의 국립공원</t>
  </si>
  <si>
    <t>동피랑 벽화마을</t>
  </si>
  <si>
    <t>담벼락마다 그려진 형형색색의 벽화</t>
  </si>
  <si>
    <t>통영케이블카</t>
  </si>
  <si>
    <t>한려수도를 한눈에 담을 수 있는 장소</t>
  </si>
  <si>
    <t>경북</t>
  </si>
  <si>
    <t>첨성대</t>
  </si>
  <si>
    <t>있는 삼국시대 신라 시기의 천문관측시설</t>
  </si>
  <si>
    <t>부석사</t>
  </si>
  <si>
    <t>세계문화유산에 오른 7개사찰</t>
  </si>
  <si>
    <t>청도프로방스</t>
  </si>
  <si>
    <t>별빛동화마을 빛축제, 미로, 야경투어</t>
  </si>
  <si>
    <t>경주월드</t>
  </si>
  <si>
    <t>경주에서 유명한 놀이동산</t>
  </si>
  <si>
    <t>안동하회마을</t>
  </si>
  <si>
    <t>한국의 미와 전통이 살아있는 역사마을</t>
  </si>
  <si>
    <t>팔공산갓바위</t>
  </si>
  <si>
    <t>소원을 꼭 들어주시는 불상</t>
  </si>
  <si>
    <t>광주</t>
  </si>
  <si>
    <t>펭귄마을</t>
  </si>
  <si>
    <t>공예거리, 벽화, 추억의상점</t>
  </si>
  <si>
    <t>5.18 기념공원</t>
  </si>
  <si>
    <t>5.18 민주화운동의 공원,무각사 산책로</t>
  </si>
  <si>
    <t>우치공원</t>
  </si>
  <si>
    <t>패밀리랜드 동물원, 여러 동물들</t>
  </si>
  <si>
    <t>쌍암공원</t>
  </si>
  <si>
    <t>큰 호수를 가진 산책로, 규모 큰 공원</t>
  </si>
  <si>
    <t>대구</t>
  </si>
  <si>
    <t>이월드</t>
  </si>
  <si>
    <t>유럽식 도시공원, 종합테마파크</t>
  </si>
  <si>
    <t>달성공원</t>
  </si>
  <si>
    <t>숲 속 동물원</t>
  </si>
  <si>
    <t>스파밸리</t>
  </si>
  <si>
    <t>워터파크, 물놀이</t>
  </si>
  <si>
    <t>동촌유존지</t>
  </si>
  <si>
    <t>오리배 타자</t>
  </si>
  <si>
    <t>동제미술관</t>
  </si>
  <si>
    <t>현대미술 구경</t>
  </si>
  <si>
    <t>대전</t>
  </si>
  <si>
    <t>오월드</t>
  </si>
  <si>
    <t>핑크뮬리부터 국화꽃까지</t>
  </si>
  <si>
    <t>국립중앙과학관</t>
  </si>
  <si>
    <t>과학교육프로그램 과 여러가지 체험가능</t>
  </si>
  <si>
    <t>우임사적공원</t>
  </si>
  <si>
    <t>남간정사,정판각 등 우리나라의 문화재를 볼 수 있다</t>
  </si>
  <si>
    <t>보문산</t>
  </si>
  <si>
    <t>전망대에서 대전 시내풍경 다 볼 수 있다</t>
  </si>
  <si>
    <t>엑스포과학공원</t>
  </si>
  <si>
    <t>과학 체험가능한 공원</t>
  </si>
  <si>
    <t>부산</t>
  </si>
  <si>
    <t>광안리해수욕장</t>
  </si>
  <si>
    <t>광안대교가 보이는 광안리 해변가</t>
  </si>
  <si>
    <t>국립해양박물관</t>
  </si>
  <si>
    <t>대형 수족관이 있는 박물관</t>
  </si>
  <si>
    <t>대저생태공원</t>
  </si>
  <si>
    <t>오래토록 머물고 싶은 부산 핑크뮬리 명소</t>
  </si>
  <si>
    <t>청사포</t>
  </si>
  <si>
    <t>동해남부선 청길로 돌아오는 산책길</t>
  </si>
  <si>
    <t>정관박물관</t>
  </si>
  <si>
    <t>삼국시대 생활상을 볼 수 있는 곳</t>
  </si>
  <si>
    <t>168계단</t>
  </si>
  <si>
    <t>부산의 산들을 책임지는 모노레일</t>
  </si>
  <si>
    <t>서울</t>
  </si>
  <si>
    <t>서울거리예술축제</t>
  </si>
  <si>
    <t>거리무용, 현대 서커스, 공공미술</t>
  </si>
  <si>
    <t>금천하모니축제</t>
  </si>
  <si>
    <t>금천꽃밭, 빛의 정원 전시</t>
  </si>
  <si>
    <t>롯데월드 호러 할로윈</t>
  </si>
  <si>
    <t>가을시즌 축제 호러 할로윈</t>
  </si>
  <si>
    <t>배봉산</t>
  </si>
  <si>
    <t>달맞이봉공원, 둘레길 산책로</t>
  </si>
  <si>
    <t>평화문화진지</t>
  </si>
  <si>
    <t>진지한 책방, 친환경 문화공간</t>
  </si>
  <si>
    <t>세종</t>
  </si>
  <si>
    <t>영평사</t>
    <phoneticPr fontId="1" type="noConversion"/>
  </si>
  <si>
    <t>산책로, 구절초 축제</t>
  </si>
  <si>
    <t>세종호수공원</t>
  </si>
  <si>
    <t>다양한 테마의 산책로</t>
  </si>
  <si>
    <t>고복저수지</t>
  </si>
  <si>
    <t>아름다운 가을 산책로</t>
  </si>
  <si>
    <t>국립세종수목원</t>
  </si>
  <si>
    <t>사계절전시온실 , 솔찬루 누마루</t>
  </si>
  <si>
    <t>금강수목원</t>
  </si>
  <si>
    <t>정원,은하수공원,습지공원</t>
  </si>
  <si>
    <t>울산</t>
  </si>
  <si>
    <t>간절곶</t>
  </si>
  <si>
    <t xml:space="preserve">해돋이, 바다, 등대 </t>
  </si>
  <si>
    <t>태화강 국가정원</t>
  </si>
  <si>
    <t>꽃과 정원을 테마로 한 전시, 공연</t>
  </si>
  <si>
    <t>대왕암공원</t>
  </si>
  <si>
    <t>바다여행지,출렁다리</t>
  </si>
  <si>
    <t>선암호수공원</t>
  </si>
  <si>
    <t>선암호수길 ,호수공원</t>
  </si>
  <si>
    <t>함월루</t>
  </si>
  <si>
    <t xml:space="preserve">야경명소,십리대숲 </t>
  </si>
  <si>
    <t>인천</t>
  </si>
  <si>
    <t>차이나타운</t>
  </si>
  <si>
    <t>다양한 중식음식 맛보기</t>
  </si>
  <si>
    <t>동막해변</t>
  </si>
  <si>
    <t>갯벌체험</t>
  </si>
  <si>
    <t>월미도</t>
  </si>
  <si>
    <t>향기로운 바다의 향</t>
  </si>
  <si>
    <t>미묘스튜디오</t>
  </si>
  <si>
    <t>사진찍기 딱 좋은 곳</t>
  </si>
  <si>
    <t>까치놀섬마을</t>
  </si>
  <si>
    <t>아이들과 놀기 좋은 곳</t>
  </si>
  <si>
    <t>전남</t>
  </si>
  <si>
    <t>순천만국가정원</t>
  </si>
  <si>
    <t>정원박람회, 제1호 국가정원</t>
  </si>
  <si>
    <t>오동도</t>
  </si>
  <si>
    <t>동백꽃이 예쁜 자연의 섬</t>
  </si>
  <si>
    <t>낙안읍성민속마을</t>
  </si>
  <si>
    <t>순천 낙안읍성 조선시대 멋진 전통가옥과 문화재</t>
  </si>
  <si>
    <t>아쿠아플라넷 여수</t>
  </si>
  <si>
    <t>국내 2위 규모의 아쿠아리움</t>
  </si>
  <si>
    <t>순천만습지</t>
  </si>
  <si>
    <t>끝없이 펼쳐진 갈대밭이 유명함</t>
  </si>
  <si>
    <t>메타프로방스</t>
  </si>
  <si>
    <t>사진 찍기 좋은 유럽풍 체험마을</t>
  </si>
  <si>
    <t>전북</t>
  </si>
  <si>
    <t>전주 한옥마을</t>
  </si>
  <si>
    <t>한복체험을 할 수 있는 전통적인 한옥마을</t>
  </si>
  <si>
    <t>동국사</t>
  </si>
  <si>
    <t>일제강점기 일본 사찰</t>
  </si>
  <si>
    <t>전주 동물원</t>
  </si>
  <si>
    <t>지방동물원 중 가장 오래된 동물원</t>
  </si>
  <si>
    <t>경암동 철길마을</t>
  </si>
  <si>
    <t>여행과 추억이 생각나는 군산 경암 철길마을</t>
  </si>
  <si>
    <t>광한루원</t>
  </si>
  <si>
    <t>천체와 우주를 상징하는 요소들로 가득 찬 독특한 누원</t>
  </si>
  <si>
    <t>전주 수목원</t>
  </si>
  <si>
    <t>국내 유일의 도로전문 수목원</t>
  </si>
  <si>
    <t>제주</t>
  </si>
  <si>
    <t>유리의 성</t>
  </si>
  <si>
    <t>유리공예 작품을 원없이 볼 수 있는 곳</t>
  </si>
  <si>
    <t>쇠소깍</t>
  </si>
  <si>
    <t>카약도 즐길 수 있는 검은모래 해변</t>
  </si>
  <si>
    <t>오설록 티 뮤지엄</t>
  </si>
  <si>
    <t>제주도의 푸른 녹차밭</t>
  </si>
  <si>
    <t>금오름</t>
  </si>
  <si>
    <t>차타고 정상까지 올라갈 수 있는 오름</t>
  </si>
  <si>
    <t>만장굴</t>
  </si>
  <si>
    <t>세계 최장 길이의 신비한 용암동굴</t>
  </si>
  <si>
    <t>메이즈랜드</t>
  </si>
  <si>
    <t>미로로 가득한 공원</t>
  </si>
  <si>
    <t>충남</t>
  </si>
  <si>
    <t>장승마을 빛 축제</t>
  </si>
  <si>
    <t>장승마을 카라반 빛 축제, 전망대</t>
  </si>
  <si>
    <t>계룡세계군문화엑스포</t>
  </si>
  <si>
    <t>평화의 꿈 소원지, 계룡대 영내투어</t>
  </si>
  <si>
    <t>외암 민속마을</t>
  </si>
  <si>
    <t>조선시대 테마형 관광지</t>
  </si>
  <si>
    <t>의좋은 형제 축제</t>
  </si>
  <si>
    <t>볏짚예술제, 트릭아트 시골의 자연스러움 강조</t>
  </si>
  <si>
    <t>예당호 출렁다리</t>
  </si>
  <si>
    <t>예산 스탬프투어, 예당호 출렁다리</t>
  </si>
  <si>
    <t>충북</t>
  </si>
  <si>
    <t>수암골</t>
  </si>
  <si>
    <t>골목 벽화마을, 전망대</t>
  </si>
  <si>
    <t>제천한방바이오박람회</t>
  </si>
  <si>
    <t>약초허브식물원, 웰니스 체험존</t>
  </si>
  <si>
    <t>청주문화재야행</t>
  </si>
  <si>
    <t>문화탐방, 문화재 스탬프투어</t>
  </si>
  <si>
    <t>대한민국와인축제</t>
  </si>
  <si>
    <t>버스킹 공연, 와인을 이용한 먹거리</t>
  </si>
  <si>
    <t>송효관광지</t>
  </si>
  <si>
    <t>대자연의 여유로움 즐기는 캠핑장</t>
  </si>
  <si>
    <t>패키지 이름</t>
  </si>
  <si>
    <t>관광 번호</t>
  </si>
  <si>
    <t>강원 최고 패키지</t>
  </si>
  <si>
    <t>2,3</t>
    <phoneticPr fontId="1" type="noConversion"/>
  </si>
  <si>
    <t>강원 베스트 패키지</t>
  </si>
  <si>
    <t>1,2,3,4</t>
    <phoneticPr fontId="1" type="noConversion"/>
  </si>
  <si>
    <t>강원 할인 패키지</t>
  </si>
  <si>
    <t>2,3,4</t>
    <phoneticPr fontId="1" type="noConversion"/>
  </si>
  <si>
    <t>강원 해피 패키지</t>
  </si>
  <si>
    <t>1,2,3,4,5</t>
  </si>
  <si>
    <t>강원 선샤인 패키지</t>
  </si>
  <si>
    <t>1,3,4</t>
    <phoneticPr fontId="1" type="noConversion"/>
  </si>
  <si>
    <t>경기 반가워 패키지</t>
  </si>
  <si>
    <t>6,8,9</t>
    <phoneticPr fontId="1" type="noConversion"/>
  </si>
  <si>
    <t>경기 최고 패키지</t>
  </si>
  <si>
    <t>7,8,10</t>
    <phoneticPr fontId="1" type="noConversion"/>
  </si>
  <si>
    <t>경기 룰루랄라 패키지</t>
  </si>
  <si>
    <t>6,7,8</t>
    <phoneticPr fontId="1" type="noConversion"/>
  </si>
  <si>
    <t>경남 배고파 패키지</t>
  </si>
  <si>
    <t>11,12,16</t>
    <phoneticPr fontId="1" type="noConversion"/>
  </si>
  <si>
    <t>경남 추억 패키지</t>
  </si>
  <si>
    <t>11,13,14</t>
    <phoneticPr fontId="1" type="noConversion"/>
  </si>
  <si>
    <t>경남 할인 패키지</t>
  </si>
  <si>
    <t>11,15,16</t>
    <phoneticPr fontId="1" type="noConversion"/>
  </si>
  <si>
    <t>경남 좋은 패키지</t>
  </si>
  <si>
    <t>11,14</t>
    <phoneticPr fontId="1" type="noConversion"/>
  </si>
  <si>
    <t>경남 즐거운 패키지</t>
  </si>
  <si>
    <t>12,13,16</t>
    <phoneticPr fontId="1" type="noConversion"/>
  </si>
  <si>
    <t>경북 최고 패키지</t>
  </si>
  <si>
    <t>17,18,19</t>
    <phoneticPr fontId="1" type="noConversion"/>
  </si>
  <si>
    <t>경북 맛집 패키지</t>
  </si>
  <si>
    <t>18,19</t>
    <phoneticPr fontId="1" type="noConversion"/>
  </si>
  <si>
    <t>경북 즐거운 패키지</t>
  </si>
  <si>
    <t>18,19,22</t>
    <phoneticPr fontId="1" type="noConversion"/>
  </si>
  <si>
    <t>경북 베스트 패키지</t>
  </si>
  <si>
    <t>18,20</t>
    <phoneticPr fontId="1" type="noConversion"/>
  </si>
  <si>
    <t>경북 행복한 패키지</t>
  </si>
  <si>
    <t>17,18</t>
    <phoneticPr fontId="1" type="noConversion"/>
  </si>
  <si>
    <t>광주 해피 패키지</t>
  </si>
  <si>
    <t>25,26</t>
    <phoneticPr fontId="1" type="noConversion"/>
  </si>
  <si>
    <t>광주 즐거운 패키지</t>
  </si>
  <si>
    <t>23,24,25,26</t>
    <phoneticPr fontId="1" type="noConversion"/>
  </si>
  <si>
    <t>대구 룰루랄라 패키지</t>
  </si>
  <si>
    <t>28,29,30</t>
    <phoneticPr fontId="1" type="noConversion"/>
  </si>
  <si>
    <t>대구 추억가득 패키지</t>
  </si>
  <si>
    <t>28,29</t>
    <phoneticPr fontId="1" type="noConversion"/>
  </si>
  <si>
    <t>대전 반가워 패키지</t>
  </si>
  <si>
    <t>33,34</t>
    <phoneticPr fontId="1" type="noConversion"/>
  </si>
  <si>
    <t>대전 행복한 패키지</t>
  </si>
  <si>
    <t>34,35</t>
    <phoneticPr fontId="1" type="noConversion"/>
  </si>
  <si>
    <t>대전 최고 패키지</t>
  </si>
  <si>
    <t>32,33,34,35,36</t>
    <phoneticPr fontId="1" type="noConversion"/>
  </si>
  <si>
    <t>부산 할인 패키지</t>
  </si>
  <si>
    <t>37,38,39,40,41</t>
  </si>
  <si>
    <t>부산 베스트 패키지</t>
  </si>
  <si>
    <t>39,41,43</t>
    <phoneticPr fontId="1" type="noConversion"/>
  </si>
  <si>
    <t>부산 선샤인 패키지</t>
  </si>
  <si>
    <t>40,42</t>
    <phoneticPr fontId="1" type="noConversion"/>
  </si>
  <si>
    <t>부산 해피 패키지</t>
  </si>
  <si>
    <t>38,40,42</t>
    <phoneticPr fontId="1" type="noConversion"/>
  </si>
  <si>
    <t>부산 룰루랄라 패키지</t>
  </si>
  <si>
    <t>38,39,40,41,42</t>
  </si>
  <si>
    <t>부산 최고 패키지</t>
  </si>
  <si>
    <t>39,41</t>
  </si>
  <si>
    <t>서울 반가워 패키지</t>
  </si>
  <si>
    <t>43,44,45,46,47</t>
  </si>
  <si>
    <t>서울 룰루랄라 패키지</t>
  </si>
  <si>
    <t>44,46,47</t>
    <phoneticPr fontId="1" type="noConversion"/>
  </si>
  <si>
    <t>서울 베스트 패키지</t>
  </si>
  <si>
    <t>44,45,46</t>
  </si>
  <si>
    <t>서울 선샤인 패키지</t>
  </si>
  <si>
    <t>45,46</t>
    <phoneticPr fontId="1" type="noConversion"/>
  </si>
  <si>
    <t>서울 즐거운 패키지</t>
  </si>
  <si>
    <t>44,45</t>
  </si>
  <si>
    <t>세종 선샤인 패키지</t>
  </si>
  <si>
    <t>50,51</t>
    <phoneticPr fontId="1" type="noConversion"/>
  </si>
  <si>
    <t>세종 또만나 패키지</t>
  </si>
  <si>
    <t>49,50</t>
    <phoneticPr fontId="1" type="noConversion"/>
  </si>
  <si>
    <t>울산 카페투어 패키지</t>
  </si>
  <si>
    <t>54,57</t>
    <phoneticPr fontId="1" type="noConversion"/>
  </si>
  <si>
    <t>울산 선샤인 패키지</t>
  </si>
  <si>
    <t>54,55,57</t>
    <phoneticPr fontId="1" type="noConversion"/>
  </si>
  <si>
    <t>울산 추억 패키지</t>
  </si>
  <si>
    <t>54,55,56</t>
  </si>
  <si>
    <t>인천 행복한 패키지</t>
  </si>
  <si>
    <t>58,59</t>
    <phoneticPr fontId="1" type="noConversion"/>
  </si>
  <si>
    <t>인천 선샤인 패키지</t>
  </si>
  <si>
    <t>61,62</t>
    <phoneticPr fontId="1" type="noConversion"/>
  </si>
  <si>
    <t>인천 즐거운 패키지</t>
  </si>
  <si>
    <t>59,60</t>
  </si>
  <si>
    <t>전남 선샤인 패키지</t>
  </si>
  <si>
    <t>64,67</t>
    <phoneticPr fontId="1" type="noConversion"/>
  </si>
  <si>
    <t>전남 해피 패키지</t>
  </si>
  <si>
    <t>64,65,66,67,68</t>
  </si>
  <si>
    <t>전남 맛집 패키지</t>
  </si>
  <si>
    <t>67,68</t>
    <phoneticPr fontId="1" type="noConversion"/>
  </si>
  <si>
    <t>전북 선샤인 패키지</t>
  </si>
  <si>
    <t>69,70,74</t>
    <phoneticPr fontId="1" type="noConversion"/>
  </si>
  <si>
    <t>전북 최고 패키지</t>
  </si>
  <si>
    <t>70,72,73</t>
  </si>
  <si>
    <t>전북 맛집 패키지</t>
  </si>
  <si>
    <t>71,72</t>
    <phoneticPr fontId="1" type="noConversion"/>
  </si>
  <si>
    <t>제주 반가워 패키지</t>
  </si>
  <si>
    <t>77,80</t>
    <phoneticPr fontId="1" type="noConversion"/>
  </si>
  <si>
    <t>제주 베스트 패키지</t>
  </si>
  <si>
    <t>79,80</t>
    <phoneticPr fontId="1" type="noConversion"/>
  </si>
  <si>
    <t>제주 룰루랄라 패키지</t>
  </si>
  <si>
    <t>76,77,79</t>
  </si>
  <si>
    <t>충남 베스트 패키지</t>
  </si>
  <si>
    <t>81,82</t>
  </si>
  <si>
    <t>충남 룰루랄라 패키지</t>
  </si>
  <si>
    <t>83,85</t>
    <phoneticPr fontId="1" type="noConversion"/>
  </si>
  <si>
    <t>충북 반가워 패키지</t>
  </si>
  <si>
    <t>87,90</t>
    <phoneticPr fontId="1" type="noConversion"/>
  </si>
  <si>
    <t>충북 베스트 패키지</t>
  </si>
  <si>
    <t>88,89,90</t>
    <phoneticPr fontId="1" type="noConversion"/>
  </si>
  <si>
    <t>회원번호</t>
  </si>
  <si>
    <t>패키지번호</t>
  </si>
  <si>
    <t>예약날짜</t>
  </si>
  <si>
    <t>성인</t>
  </si>
  <si>
    <t>청소년</t>
  </si>
  <si>
    <t>어린이</t>
  </si>
  <si>
    <t>평점</t>
  </si>
  <si>
    <t>리뷰내용</t>
  </si>
  <si>
    <t>다시 방문은 안 할 거 같아요</t>
    <phoneticPr fontId="1" type="noConversion"/>
  </si>
  <si>
    <t>가볼만 합니다.</t>
  </si>
  <si>
    <t>강추하는 여행 코스! 또 가고 싶어요!</t>
    <phoneticPr fontId="1" type="noConversion"/>
  </si>
  <si>
    <t>가족끼리 가기 좋음!</t>
  </si>
  <si>
    <t>축제 즐기기 딱 좋네요 굿</t>
  </si>
  <si>
    <t>날씨도 풍경도 그저그랬어요</t>
    <phoneticPr fontId="1" type="noConversion"/>
  </si>
  <si>
    <t>딱 한번 가볼만 한 장소</t>
  </si>
  <si>
    <t>계속 생각나서 한 번 더 갈 생각입니다~</t>
    <phoneticPr fontId="1" type="noConversion"/>
  </si>
  <si>
    <t>다양하게 놀 게 많아서 너무 좋았아요</t>
    <phoneticPr fontId="1" type="noConversion"/>
  </si>
  <si>
    <t>대체 뭘 준비한건지 모르겠어요</t>
    <phoneticPr fontId="1" type="noConversion"/>
  </si>
  <si>
    <t>줄이 너무 길어서 보기 힘들었어요</t>
  </si>
  <si>
    <t>불친절 해요 직원분이</t>
  </si>
  <si>
    <t>날씨가 너무 좋아서 가볼만 했어요</t>
  </si>
  <si>
    <t>커플끼리 가기에 부적합 한 거 같아요</t>
    <phoneticPr fontId="1" type="noConversion"/>
  </si>
  <si>
    <t>감히 최악이라고 할 수 있을 거 같아요</t>
    <phoneticPr fontId="1" type="noConversion"/>
  </si>
  <si>
    <t>왜 다들 가지 말라고 하는지 한 번에 알 수 있었습니다</t>
    <phoneticPr fontId="1" type="noConversion"/>
  </si>
  <si>
    <t>맛집인 이유가 있네요 최고의 음식점!</t>
  </si>
  <si>
    <t>완전 최고 ~ 교통편도 좋았습니다.</t>
  </si>
  <si>
    <t>아쉬움과 즐거움이 동반했던 관광지입니다</t>
    <phoneticPr fontId="1" type="noConversion"/>
  </si>
  <si>
    <t>교통편도 서비스도 다 너무 좋았던 곳!</t>
    <phoneticPr fontId="1" type="noConversion"/>
  </si>
  <si>
    <t>좋은 시간을 보내기엔 적합하지 않은 곳 같아요</t>
    <phoneticPr fontId="1" type="noConversion"/>
  </si>
  <si>
    <t>덕분에 잘 쉬다 갑니다.</t>
  </si>
  <si>
    <t xml:space="preserve">직원분들이 너무 친절해요 </t>
  </si>
  <si>
    <t>별 생각 없이 갔는데 좋았어요</t>
  </si>
  <si>
    <t>한번쯤은 가볼만 하네요 다음엔 안 갈듯</t>
  </si>
  <si>
    <t>생각보다 좋은 곳이었어요!</t>
    <phoneticPr fontId="1" type="noConversion"/>
  </si>
  <si>
    <t>적당하게 즐기다 왔어요</t>
    <phoneticPr fontId="1" type="noConversion"/>
  </si>
  <si>
    <t>너무 좋았어요! 깔끔 그 자체!!</t>
    <phoneticPr fontId="1" type="noConversion"/>
  </si>
  <si>
    <t>새로 생긴 곳이라 그런지 너무 깔끔하고 좋아요!!</t>
    <phoneticPr fontId="1" type="noConversion"/>
  </si>
  <si>
    <t>좋았지만 소음이 조금 있네요…</t>
    <phoneticPr fontId="1" type="noConversion"/>
  </si>
  <si>
    <t xml:space="preserve">더러워요 </t>
    <phoneticPr fontId="1" type="noConversion"/>
  </si>
  <si>
    <t>조용히 쉬기 딱 좋아요! 완전 추천!!!</t>
    <phoneticPr fontId="1" type="noConversion"/>
  </si>
  <si>
    <t>직원분들도 친절하고 시설도 너무 좋네요ㅎㅎㅎ</t>
    <phoneticPr fontId="1" type="noConversion"/>
  </si>
  <si>
    <t>최악. 가격이 싼 이유를 알겠음</t>
    <phoneticPr fontId="1" type="noConversion"/>
  </si>
  <si>
    <t>잠깐 쉬고 가기는 좋네요</t>
    <phoneticPr fontId="1" type="noConversion"/>
  </si>
  <si>
    <t>잘 쉬다갑니다~~ㅎㅎㅎ</t>
    <phoneticPr fontId="1" type="noConversion"/>
  </si>
  <si>
    <t>편안하게 잘 쉬었지만 아쉬움이 많아요</t>
    <phoneticPr fontId="1" type="noConversion"/>
  </si>
  <si>
    <t>가격에 비해 좋음!</t>
    <phoneticPr fontId="1" type="noConversion"/>
  </si>
  <si>
    <t>침대가 너무 딱딱… 이불에서도 하수구 냄새남</t>
    <phoneticPr fontId="1" type="noConversion"/>
  </si>
  <si>
    <t>가스 하나도 안 되고 손전등 키고 다녀야 함</t>
    <phoneticPr fontId="1" type="noConversion"/>
  </si>
  <si>
    <t>차라리 찜질방을 가삼</t>
    <phoneticPr fontId="1" type="noConversion"/>
  </si>
  <si>
    <t>징징이도 이런 식으로 장사 안함</t>
    <phoneticPr fontId="1" type="noConversion"/>
  </si>
  <si>
    <t>너무 좋음!! 재방문의사 있어요!!!</t>
    <phoneticPr fontId="1" type="noConversion"/>
  </si>
  <si>
    <t>이딴식으로 장사하지 말았으면^^</t>
    <phoneticPr fontId="1" type="noConversion"/>
  </si>
  <si>
    <t>방에 쓰레기도 많고 사장도 불친절함</t>
    <phoneticPr fontId="1" type="noConversion"/>
  </si>
  <si>
    <t>호텔은 무슨 그냥 방탈출임 열쇠 다 고장남</t>
    <phoneticPr fontId="1" type="noConversion"/>
  </si>
  <si>
    <t>다시 또 오고 싶네요 최고!!</t>
    <phoneticPr fontId="1" type="noConversion"/>
  </si>
  <si>
    <t>한번쯤은 가볼만 하네요 다음엔 안 갈듯</t>
    <phoneticPr fontId="1" type="noConversion"/>
  </si>
  <si>
    <t>나만 알고 싶은 맛집!!</t>
    <phoneticPr fontId="1" type="noConversion"/>
  </si>
  <si>
    <t>이정도면 나름 괜찮은 듯</t>
    <phoneticPr fontId="1" type="noConversion"/>
  </si>
  <si>
    <t>생각보다 좋았습니다</t>
    <phoneticPr fontId="1" type="noConversion"/>
  </si>
  <si>
    <t xml:space="preserve">사장님 인심 짱!! </t>
    <phoneticPr fontId="1" type="noConversion"/>
  </si>
  <si>
    <t>직원분 너무 불친절하네요</t>
    <phoneticPr fontId="1" type="noConversion"/>
  </si>
  <si>
    <t>계속 생각날정도로 맛있습니다</t>
    <phoneticPr fontId="1" type="noConversion"/>
  </si>
  <si>
    <t>입맛에 딱 맞아요</t>
    <phoneticPr fontId="1" type="noConversion"/>
  </si>
  <si>
    <t>먹고 있는데도 계속 먹고 싶은 맛</t>
    <phoneticPr fontId="1" type="noConversion"/>
  </si>
  <si>
    <t>줄이 너무 길어서 힘들었어요</t>
    <phoneticPr fontId="1" type="noConversion"/>
  </si>
  <si>
    <t>약간 아쉬움이 있어요</t>
    <phoneticPr fontId="1" type="noConversion"/>
  </si>
  <si>
    <t>그저 그럼</t>
    <phoneticPr fontId="1" type="noConversion"/>
  </si>
  <si>
    <t>솔직히 별로에요</t>
    <phoneticPr fontId="1" type="noConversion"/>
  </si>
  <si>
    <t>숨은 맛집이네!!</t>
    <phoneticPr fontId="1" type="noConversion"/>
  </si>
  <si>
    <t>청결상태가 좀…</t>
    <phoneticPr fontId="1" type="noConversion"/>
  </si>
  <si>
    <t>최악 다시는 오고 싶지 않다</t>
    <phoneticPr fontId="1" type="noConversion"/>
  </si>
  <si>
    <t>돈 내고 먹긴 좀</t>
    <phoneticPr fontId="1" type="noConversion"/>
  </si>
  <si>
    <t>서비스도 많고 최고임</t>
    <phoneticPr fontId="1" type="noConversion"/>
  </si>
  <si>
    <t>둘이 먹다 하나가 죽어도 모를 맛</t>
    <phoneticPr fontId="1" type="noConversion"/>
  </si>
  <si>
    <t>양과 질에 비해 가격이 정말 싸요!</t>
    <phoneticPr fontId="1" type="noConversion"/>
  </si>
  <si>
    <t>너무 외진곳에 있어서 찾기 힘듬</t>
    <phoneticPr fontId="1" type="noConversion"/>
  </si>
  <si>
    <t>음식들이 다 식어서 맛없어요</t>
    <phoneticPr fontId="1" type="noConversion"/>
  </si>
  <si>
    <t>뭔가 아쉬움</t>
    <phoneticPr fontId="1" type="noConversion"/>
  </si>
  <si>
    <t>가격이 너무 비싸네</t>
    <phoneticPr fontId="1" type="noConversion"/>
  </si>
  <si>
    <t>정성 최고!!</t>
    <phoneticPr fontId="1" type="noConversion"/>
  </si>
  <si>
    <t>조리할 때 청결 좀 신경써주시길</t>
    <phoneticPr fontId="1" type="noConversion"/>
  </si>
  <si>
    <t>내가 만든게 더 나을 듯</t>
    <phoneticPr fontId="1" type="noConversion"/>
  </si>
  <si>
    <t>진짜 실망스럽다</t>
    <phoneticPr fontId="1" type="noConversion"/>
  </si>
  <si>
    <t>다시 찾아가서 먹고 싶진 않네요</t>
    <phoneticPr fontId="1" type="noConversion"/>
  </si>
  <si>
    <t>음…별로입니다</t>
    <phoneticPr fontId="1" type="noConversion"/>
  </si>
  <si>
    <t>먹을만함</t>
    <phoneticPr fontId="1" type="noConversion"/>
  </si>
  <si>
    <t>나만 모르고 있던 맛집!</t>
    <phoneticPr fontId="1" type="noConversion"/>
  </si>
  <si>
    <t>준비 많이 하신게 보이네요!!</t>
    <phoneticPr fontId="1" type="noConversion"/>
  </si>
  <si>
    <t>부실해서 먹을게 없음</t>
    <phoneticPr fontId="1" type="noConversion"/>
  </si>
  <si>
    <t>나름 괜찮아요</t>
    <phoneticPr fontId="1" type="noConversion"/>
  </si>
  <si>
    <t>아쉬운 부분이 많았어요</t>
    <phoneticPr fontId="1" type="noConversion"/>
  </si>
  <si>
    <t>다른분들께 추천드리고 싶을정도!</t>
    <phoneticPr fontId="1" type="noConversion"/>
  </si>
  <si>
    <t>진작에 와볼걸 후회중ㅠㅠ</t>
    <phoneticPr fontId="1" type="noConversion"/>
  </si>
  <si>
    <t>기대 이하네요…</t>
    <phoneticPr fontId="1" type="noConversion"/>
  </si>
  <si>
    <t>완벽하다 진짜 짱짱!</t>
    <phoneticPr fontId="1" type="noConversion"/>
  </si>
  <si>
    <t>처음 왔는데 정말 불친절하시네요</t>
    <phoneticPr fontId="1" type="noConversion"/>
  </si>
  <si>
    <t>생각했던거 그대로임</t>
    <phoneticPr fontId="1" type="noConversion"/>
  </si>
  <si>
    <t>앞으로도 응원할게요!</t>
    <phoneticPr fontId="1" type="noConversion"/>
  </si>
  <si>
    <t>대박나길 바랍니다</t>
    <phoneticPr fontId="1" type="noConversion"/>
  </si>
  <si>
    <t>굳이 또 찾아갈정도는 아님</t>
    <phoneticPr fontId="1" type="noConversion"/>
  </si>
  <si>
    <t>정성이 없음</t>
    <phoneticPr fontId="1" type="noConversion"/>
  </si>
  <si>
    <t>아이랑 같이 갔을 때 아이가 정말 좋아해요~</t>
    <phoneticPr fontId="1" type="noConversion"/>
  </si>
  <si>
    <t>할 것도 많고 즐길 거리도 많아서 좋아요</t>
    <phoneticPr fontId="1" type="noConversion"/>
  </si>
  <si>
    <t>할 수 있는게 많아서 좋아요</t>
    <phoneticPr fontId="1" type="noConversion"/>
  </si>
  <si>
    <t>굿 재밌어요 가족끼리 가기 좋아요</t>
    <phoneticPr fontId="1" type="noConversion"/>
  </si>
  <si>
    <t>밤에 갔을 때 정말 예뻤어요</t>
    <phoneticPr fontId="1" type="noConversion"/>
  </si>
  <si>
    <t>완전 짱! 후회 없이 놀았어요</t>
    <phoneticPr fontId="1" type="noConversion"/>
  </si>
  <si>
    <t>그냥 무난하게 가기 괜찮아요</t>
    <phoneticPr fontId="1" type="noConversion"/>
  </si>
  <si>
    <t>축제 장소에 쓰레기가 너무 많아요</t>
    <phoneticPr fontId="1" type="noConversion"/>
  </si>
  <si>
    <t>할 것도 없고 그냥 그래요</t>
    <phoneticPr fontId="1" type="noConversion"/>
  </si>
  <si>
    <t>재밌게 즐기다 가요</t>
    <phoneticPr fontId="1" type="noConversion"/>
  </si>
  <si>
    <t>교통편이 너무 불편해요ㅠㅠ</t>
    <phoneticPr fontId="1" type="noConversion"/>
  </si>
  <si>
    <t>사람은 많은데 장소는 부족해서 서있다가만 왔어요</t>
    <phoneticPr fontId="1" type="noConversion"/>
  </si>
  <si>
    <t>그럭저럭 괜찮아요</t>
    <phoneticPr fontId="1" type="noConversion"/>
  </si>
  <si>
    <t>추천해서 갔는데 왜 추천했는지 알 것같았어요ㅎㅎ</t>
    <phoneticPr fontId="1" type="noConversion"/>
  </si>
  <si>
    <t>굳이 시간 들여서 갈 필요가 있나 싶네요</t>
    <phoneticPr fontId="1" type="noConversion"/>
  </si>
  <si>
    <t>즐길 것도 많고 먹을거리도 많아요</t>
    <phoneticPr fontId="1" type="noConversion"/>
  </si>
  <si>
    <t>날씨도 좋아서 재밌게 즐기다 왔어요~</t>
    <phoneticPr fontId="1" type="noConversion"/>
  </si>
  <si>
    <t>다시는 못 잊을 축제인 것 같아요</t>
    <phoneticPr fontId="1" type="noConversion"/>
  </si>
  <si>
    <t>한 번은 호기심에 가도 두 번은 안가고싶은..ㅎㅎ</t>
    <phoneticPr fontId="1" type="noConversion"/>
  </si>
  <si>
    <t>주차장에 차 댈 곳이 없어요</t>
    <phoneticPr fontId="1" type="noConversion"/>
  </si>
  <si>
    <t>관계자분들도 친절해요</t>
    <phoneticPr fontId="1" type="noConversion"/>
  </si>
  <si>
    <t>재미있게 놀다 가요~</t>
    <phoneticPr fontId="1" type="noConversion"/>
  </si>
  <si>
    <t>친구들끼리 가면 더 재미있어요!</t>
    <phoneticPr fontId="1" type="noConversion"/>
  </si>
  <si>
    <t>완전 최고! 친구들한테도 추천하고 싶어요</t>
    <phoneticPr fontId="1" type="noConversion"/>
  </si>
  <si>
    <t>진짜 별로고 재미도 없어요</t>
    <phoneticPr fontId="1" type="noConversion"/>
  </si>
  <si>
    <t>사람 없는 시간대에 가면 더 좋을 것 같아요</t>
    <phoneticPr fontId="1" type="noConversion"/>
  </si>
  <si>
    <t>진짜 재미있어요! 여러명이서 가서 더 좋았어요</t>
    <phoneticPr fontId="1" type="noConversion"/>
  </si>
  <si>
    <t>굳이 가고 싶지 않은 축제</t>
    <phoneticPr fontId="1" type="noConversion"/>
  </si>
  <si>
    <t xml:space="preserve">딸이랑 갔는데 딸이 많이 실망하네요 </t>
    <phoneticPr fontId="1" type="noConversion"/>
  </si>
  <si>
    <t>친구들이랑 갔는데 놀게 하나도 없네요</t>
    <phoneticPr fontId="1" type="noConversion"/>
  </si>
  <si>
    <t>음식을 너무 비싸게 파시네요</t>
    <phoneticPr fontId="1" type="noConversion"/>
  </si>
  <si>
    <t>그냥 즐기다 갑니다</t>
    <phoneticPr fontId="1" type="noConversion"/>
  </si>
  <si>
    <t>다시는 가고 싶지 않네요</t>
    <phoneticPr fontId="1" type="noConversion"/>
  </si>
  <si>
    <t>그냥저냥</t>
    <phoneticPr fontId="1" type="noConversion"/>
  </si>
  <si>
    <t>아이가 좋아해요~ 가족끼리 가면 좋을 것 같아요</t>
    <phoneticPr fontId="1" type="noConversion"/>
  </si>
  <si>
    <t>벌레가 너무 많아요</t>
    <phoneticPr fontId="1" type="noConversion"/>
  </si>
  <si>
    <t>다시는 가고싶지 않아요 최악이에요</t>
    <phoneticPr fontId="1" type="noConversion"/>
  </si>
  <si>
    <t>재밌었어요</t>
    <phoneticPr fontId="1" type="noConversion"/>
  </si>
  <si>
    <t>매일 가고싶은 축제에요!</t>
    <phoneticPr fontId="1" type="noConversion"/>
  </si>
  <si>
    <t>날씨도 좋고 전체적으로 만족스러워요</t>
    <phoneticPr fontId="1" type="noConversion"/>
  </si>
  <si>
    <t>굳이 가야할까 싶은 축제</t>
    <phoneticPr fontId="1" type="noConversion"/>
  </si>
  <si>
    <t>그냥 그래요</t>
    <phoneticPr fontId="1" type="noConversion"/>
  </si>
  <si>
    <t>시설이 제대로 안되어있어서 불편해요</t>
    <phoneticPr fontId="1" type="noConversion"/>
  </si>
  <si>
    <t>관계자분이 욕을 하네요</t>
    <phoneticPr fontId="1" type="noConversion"/>
  </si>
  <si>
    <t>최고! 기회만 된다면 계속 가고 싶어요</t>
    <phoneticPr fontId="1" type="noConversion"/>
  </si>
  <si>
    <t>지루하고 재미없어요</t>
    <phoneticPr fontId="1" type="noConversion"/>
  </si>
  <si>
    <t>이번이 세번째인데 갈 때마다 더 재밌어지는 것 같아요</t>
    <phoneticPr fontId="1" type="noConversion"/>
  </si>
  <si>
    <t>그냥 언제 한 번 와본 듯한 느낌이네요</t>
    <phoneticPr fontId="1" type="noConversion"/>
  </si>
  <si>
    <t>다른 지인들에게도 적극 추천해주고 싶네요</t>
    <phoneticPr fontId="1" type="noConversion"/>
  </si>
  <si>
    <t>블로그에서 많이 추천 떴는데 많이 뜬 이유를 알겠네요 ㅎ</t>
    <phoneticPr fontId="1" type="noConversion"/>
  </si>
  <si>
    <t>다음에 또 오고 싶어요</t>
    <phoneticPr fontId="1" type="noConversion"/>
  </si>
  <si>
    <t>직원분들이 너무 친절하고, 서비스도 너무 좋네요</t>
    <phoneticPr fontId="1" type="noConversion"/>
  </si>
  <si>
    <t>한 두번 또 와보고 싶네요</t>
    <phoneticPr fontId="1" type="noConversion"/>
  </si>
  <si>
    <t>정말 좋은 추억 좋은 경험 쌓고 갑니다.</t>
    <phoneticPr fontId="1" type="noConversion"/>
  </si>
  <si>
    <t>좋지도 싫지도 않은 여행이었어요</t>
    <phoneticPr fontId="1" type="noConversion"/>
  </si>
  <si>
    <t>시간 때우기 좋았습니다.</t>
    <phoneticPr fontId="1" type="noConversion"/>
  </si>
  <si>
    <t>매일 매일 오고 싶다는 생각이 들었습니다.</t>
    <phoneticPr fontId="1" type="noConversion"/>
  </si>
  <si>
    <t>와서 볼 거리도 은근 많네요 ㅎ</t>
    <phoneticPr fontId="1" type="noConversion"/>
  </si>
  <si>
    <t>손님을 가족처럼 아껴주는게 느껴집니다</t>
    <phoneticPr fontId="1" type="noConversion"/>
  </si>
  <si>
    <t>계속 생각나는 곳이네요 ㅎ</t>
    <phoneticPr fontId="1" type="noConversion"/>
  </si>
  <si>
    <t>모든 사람들이 다 알아줬음 하는 곳 이네요</t>
    <phoneticPr fontId="1" type="noConversion"/>
  </si>
  <si>
    <t>별로였습니다.</t>
    <phoneticPr fontId="1" type="noConversion"/>
  </si>
  <si>
    <t>다음에 가족들이랑 또 올게요</t>
    <phoneticPr fontId="1" type="noConversion"/>
  </si>
  <si>
    <t>너무 좋고 행복만 느끼고 가네요 ~</t>
    <phoneticPr fontId="1" type="noConversion"/>
  </si>
  <si>
    <t>여러명이 와서 할 건 없는거 같네요</t>
    <phoneticPr fontId="1" type="noConversion"/>
  </si>
  <si>
    <t>서비스의 질이 별로 였어요</t>
    <phoneticPr fontId="1" type="noConversion"/>
  </si>
  <si>
    <t>호텔이 예쁜만큼 질도 좋았아요</t>
    <phoneticPr fontId="1" type="noConversion"/>
  </si>
  <si>
    <t>호텔 조식이 별로였어요</t>
    <phoneticPr fontId="1" type="noConversion"/>
  </si>
  <si>
    <t>주차 할 곳이 없어 불편하지만 즐거웠어요</t>
    <phoneticPr fontId="1" type="noConversion"/>
  </si>
  <si>
    <t>풍경이 너무 이쁘네요 사진 찍기 너무 좋습니다</t>
    <phoneticPr fontId="1" type="noConversion"/>
  </si>
  <si>
    <t>호텔 음식이 너무 맛있고 좋아요 다음에 또 방문 할게요</t>
    <phoneticPr fontId="1" type="noConversion"/>
  </si>
  <si>
    <t>한 번쯤은 가봐도 좋을거같아요</t>
    <phoneticPr fontId="1" type="noConversion"/>
  </si>
  <si>
    <t>다음에 또 와서 구경하고 싶지는 않아요</t>
    <phoneticPr fontId="1" type="noConversion"/>
  </si>
  <si>
    <t>별로에요</t>
    <phoneticPr fontId="1" type="noConversion"/>
  </si>
  <si>
    <t>친절은 별로지만 호텔은 좋았어요</t>
    <phoneticPr fontId="1" type="noConversion"/>
  </si>
  <si>
    <t>너무 좋아요 앞으로 자주 방문 할 거 같아요</t>
    <phoneticPr fontId="1" type="noConversion"/>
  </si>
  <si>
    <t>관광지도 너무 많고 즐거웠어요 ~</t>
    <phoneticPr fontId="1" type="noConversion"/>
  </si>
  <si>
    <t>한적한 곳에서 너무 좋았어요</t>
    <phoneticPr fontId="1" type="noConversion"/>
  </si>
  <si>
    <t>임팩트 없게 하루 휴식도 못 했네요</t>
    <phoneticPr fontId="1" type="noConversion"/>
  </si>
  <si>
    <t>음식 퀄리티가 좋았어요</t>
    <phoneticPr fontId="1" type="noConversion"/>
  </si>
  <si>
    <t>좋은 추억 만들었어요 다음에 부모님 모시고 와야겠네요</t>
    <phoneticPr fontId="1" type="noConversion"/>
  </si>
  <si>
    <t>직원이도 친절하고 호텔도 좋아요 애들이랑 자주 올게요</t>
    <phoneticPr fontId="1" type="noConversion"/>
  </si>
  <si>
    <t>호텔 자체는 별로 였지만 직원들이 친절하네요</t>
    <phoneticPr fontId="1" type="noConversion"/>
  </si>
  <si>
    <t>애들이 많이 좋다고 다음에 또 오고싶대요</t>
    <phoneticPr fontId="1" type="noConversion"/>
  </si>
  <si>
    <t>꼭 가세요 완전 인생샷 건지기 좋아요</t>
    <phoneticPr fontId="1" type="noConversion"/>
  </si>
  <si>
    <t>음식에서 벌레가 나왔어요</t>
    <phoneticPr fontId="1" type="noConversion"/>
  </si>
  <si>
    <t>음식 질도 별로고 사장님도 불친절해요</t>
    <phoneticPr fontId="1" type="noConversion"/>
  </si>
  <si>
    <t xml:space="preserve">가족여행하기 적합한 곳 같아요 </t>
    <phoneticPr fontId="1" type="noConversion"/>
  </si>
  <si>
    <t>사진 찍기에 딱인 풍경들만 있어요</t>
    <phoneticPr fontId="1" type="noConversion"/>
  </si>
  <si>
    <t>다음에 친구들과 오고싶어요</t>
    <phoneticPr fontId="1" type="noConversion"/>
  </si>
  <si>
    <t>거리</t>
  </si>
  <si>
    <t>기름값</t>
  </si>
  <si>
    <t>통행료</t>
  </si>
  <si>
    <t>총이용금액</t>
    <phoneticPr fontId="1" type="noConversion"/>
  </si>
  <si>
    <t>fn패키지금액</t>
    <phoneticPr fontId="1" type="noConversion"/>
  </si>
  <si>
    <t>성인금액</t>
  </si>
  <si>
    <t>성인금액</t>
    <phoneticPr fontId="1" type="noConversion"/>
  </si>
  <si>
    <t>청소년금액</t>
  </si>
  <si>
    <t>청소년금액</t>
    <phoneticPr fontId="1" type="noConversion"/>
  </si>
  <si>
    <t>어린이금액</t>
  </si>
  <si>
    <t>어린이금액</t>
    <phoneticPr fontId="1" type="noConversion"/>
  </si>
  <si>
    <t>금액</t>
  </si>
  <si>
    <t>금액</t>
    <phoneticPr fontId="1" type="noConversion"/>
  </si>
  <si>
    <t>회원번호</t>
    <phoneticPr fontId="1" type="noConversion"/>
  </si>
  <si>
    <t>회원별</t>
    <phoneticPr fontId="1" type="noConversion"/>
  </si>
  <si>
    <t>패키지별</t>
    <phoneticPr fontId="1" type="noConversion"/>
  </si>
  <si>
    <t>월별</t>
    <phoneticPr fontId="1" type="noConversion"/>
  </si>
  <si>
    <t>전체</t>
    <phoneticPr fontId="1" type="noConversion"/>
  </si>
  <si>
    <t>강원</t>
    <phoneticPr fontId="1" type="noConversion"/>
  </si>
  <si>
    <t>경기</t>
    <phoneticPr fontId="1" type="noConversion"/>
  </si>
  <si>
    <t>경남</t>
    <phoneticPr fontId="1" type="noConversion"/>
  </si>
  <si>
    <t>경북</t>
    <phoneticPr fontId="1" type="noConversion"/>
  </si>
  <si>
    <t>광주</t>
    <phoneticPr fontId="1" type="noConversion"/>
  </si>
  <si>
    <t>대구</t>
    <phoneticPr fontId="1" type="noConversion"/>
  </si>
  <si>
    <t>대전</t>
    <phoneticPr fontId="1" type="noConversion"/>
  </si>
  <si>
    <t>부산</t>
    <phoneticPr fontId="1" type="noConversion"/>
  </si>
  <si>
    <t>서울</t>
    <phoneticPr fontId="1" type="noConversion"/>
  </si>
  <si>
    <t>세종</t>
    <phoneticPr fontId="1" type="noConversion"/>
  </si>
  <si>
    <t>울산</t>
    <phoneticPr fontId="1" type="noConversion"/>
  </si>
  <si>
    <t>인천</t>
    <phoneticPr fontId="1" type="noConversion"/>
  </si>
  <si>
    <t>전남</t>
    <phoneticPr fontId="1" type="noConversion"/>
  </si>
  <si>
    <t>전북</t>
    <phoneticPr fontId="1" type="noConversion"/>
  </si>
  <si>
    <t>제주</t>
    <phoneticPr fontId="1" type="noConversion"/>
  </si>
  <si>
    <t>충남</t>
    <phoneticPr fontId="1" type="noConversion"/>
  </si>
  <si>
    <t>충북</t>
    <phoneticPr fontId="1" type="noConversion"/>
  </si>
  <si>
    <t>회원</t>
  </si>
  <si>
    <t>패키지</t>
  </si>
  <si>
    <t>합계 : 금액</t>
  </si>
  <si>
    <t>행 레이블</t>
  </si>
  <si>
    <t>총합계</t>
  </si>
  <si>
    <t>1월</t>
  </si>
  <si>
    <t>2월</t>
  </si>
  <si>
    <t>3월</t>
  </si>
  <si>
    <t>4월</t>
  </si>
  <si>
    <t>5월</t>
  </si>
  <si>
    <t>x</t>
    <phoneticPr fontId="1" type="noConversion"/>
  </si>
  <si>
    <t>y</t>
    <phoneticPr fontId="1" type="noConversion"/>
  </si>
  <si>
    <t>선택여부</t>
    <phoneticPr fontId="1" type="noConversion"/>
  </si>
  <si>
    <t>선택x</t>
    <phoneticPr fontId="1" type="noConversion"/>
  </si>
  <si>
    <t>선택y</t>
    <phoneticPr fontId="1" type="noConversion"/>
  </si>
  <si>
    <t>미선택x</t>
    <phoneticPr fontId="1" type="noConversion"/>
  </si>
  <si>
    <t>미선택y</t>
    <phoneticPr fontId="1" type="noConversion"/>
  </si>
  <si>
    <t>id</t>
    <phoneticPr fontId="1" type="noConversion"/>
  </si>
  <si>
    <t>선택</t>
    <phoneticPr fontId="1" type="noConversion"/>
  </si>
  <si>
    <t>체크</t>
    <phoneticPr fontId="1" type="noConversion"/>
  </si>
  <si>
    <t>id2</t>
    <phoneticPr fontId="1" type="noConversion"/>
  </si>
  <si>
    <t>여부</t>
    <phoneticPr fontId="1" type="noConversion"/>
  </si>
  <si>
    <t>거리</t>
    <phoneticPr fontId="1" type="noConversion"/>
  </si>
  <si>
    <t>가격</t>
    <phoneticPr fontId="1" type="noConversion"/>
  </si>
  <si>
    <t>거리str</t>
    <phoneticPr fontId="1" type="noConversion"/>
  </si>
  <si>
    <t>가격str</t>
    <phoneticPr fontId="1" type="noConversion"/>
  </si>
  <si>
    <t xml:space="preserve"> 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</si>
</sst>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76" formatCode="0.0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41" fontId="0" fillId="0" borderId="0" xfId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3" fontId="0" fillId="0" borderId="0" xfId="0" applyNumberForma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1" fontId="0" fillId="2" borderId="0" xfId="1" applyFont="1" applyFill="1" applyAlignment="1">
      <alignment horizontal="center" vertical="center"/>
    </xf>
    <xf numFmtId="0" fontId="0" fillId="2" borderId="0" xfId="0" applyNumberFormat="1" applyFill="1" applyAlignment="1">
      <alignment horizontal="center" vertical="center"/>
    </xf>
    <xf numFmtId="0" fontId="0" fillId="0" borderId="0" xfId="0" applyNumberForma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>
      <alignment vertical="center"/>
    </xf>
    <xf numFmtId="14" fontId="4" fillId="0" borderId="0" xfId="0" applyNumberFormat="1" applyFont="1">
      <alignment vertical="center"/>
    </xf>
  </cellXfs>
  <cellStyles count="2">
    <cellStyle name="쉼표 [0]" xfId="1" builtinId="6"/>
    <cellStyle name="표준" xfId="0" builtinId="0"/>
  </cellStyles>
  <dxfs count="5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1/relationships/timelineCache" Target="timelineCaches/timelineCach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1"/>
          <c:order val="1"/>
          <c:tx>
            <c:v>시도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layout/>
              <c:tx>
                <c:rich>
                  <a:bodyPr/>
                  <a:lstStyle/>
                  <a:p>
                    <a:fld id="{55BEFD5A-08C1-4589-AB84-FC12CA42F4BC}" type="CELLRANGE">
                      <a:rPr lang="ko-KR" altLang="en-US"/>
                      <a:pPr/>
                      <a:t>[CELLRANGE]</a:t>
                    </a:fld>
                    <a:endParaRPr lang="ko-KR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905E-4F8B-BE36-EAF59B2A9E25}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ECAF0D02-CEC2-4D35-A568-E37D56B00F90}" type="CELLRANGE">
                      <a:rPr lang="ko-KR" altLang="en-US"/>
                      <a:pPr/>
                      <a:t>[CELLRANGE]</a:t>
                    </a:fld>
                    <a:endParaRPr lang="ko-KR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05E-4F8B-BE36-EAF59B2A9E25}"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fld id="{44F57195-3144-433F-926D-6676B88D22ED}" type="CELLRANGE">
                      <a:rPr lang="ko-KR" altLang="en-US"/>
                      <a:pPr/>
                      <a:t>[CELLRANGE]</a:t>
                    </a:fld>
                    <a:endParaRPr lang="ko-KR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05E-4F8B-BE36-EAF59B2A9E25}"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fld id="{AA363546-034B-4988-BFEB-A8561D302943}" type="CELLRANGE">
                      <a:rPr lang="ko-KR" altLang="en-US"/>
                      <a:pPr/>
                      <a:t>[CELLRANGE]</a:t>
                    </a:fld>
                    <a:endParaRPr lang="ko-KR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05E-4F8B-BE36-EAF59B2A9E25}"/>
                </c:ext>
              </c:extLst>
            </c:dLbl>
            <c:dLbl>
              <c:idx val="4"/>
              <c:layout/>
              <c:tx>
                <c:rich>
                  <a:bodyPr/>
                  <a:lstStyle/>
                  <a:p>
                    <a:fld id="{E4563DA1-F38F-4F21-A112-D927DC9291E8}" type="CELLRANGE">
                      <a:rPr lang="ko-KR" altLang="en-US"/>
                      <a:pPr/>
                      <a:t>[CELLRANGE]</a:t>
                    </a:fld>
                    <a:endParaRPr lang="ko-KR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05E-4F8B-BE36-EAF59B2A9E25}"/>
                </c:ext>
              </c:extLst>
            </c:dLbl>
            <c:dLbl>
              <c:idx val="5"/>
              <c:layout/>
              <c:tx>
                <c:rich>
                  <a:bodyPr/>
                  <a:lstStyle/>
                  <a:p>
                    <a:fld id="{7A3CEF58-8A5D-4548-B9D1-4B6F0C8E3CF5}" type="CELLRANGE">
                      <a:rPr lang="ko-KR" altLang="en-US"/>
                      <a:pPr/>
                      <a:t>[CELLRANGE]</a:t>
                    </a:fld>
                    <a:endParaRPr lang="ko-KR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05E-4F8B-BE36-EAF59B2A9E25}"/>
                </c:ext>
              </c:extLst>
            </c:dLbl>
            <c:dLbl>
              <c:idx val="6"/>
              <c:layout/>
              <c:tx>
                <c:rich>
                  <a:bodyPr/>
                  <a:lstStyle/>
                  <a:p>
                    <a:fld id="{E9C92CA8-6785-45DE-A380-282C316EC57B}" type="CELLRANGE">
                      <a:rPr lang="ko-KR" altLang="en-US"/>
                      <a:pPr/>
                      <a:t>[CELLRANGE]</a:t>
                    </a:fld>
                    <a:endParaRPr lang="ko-KR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05E-4F8B-BE36-EAF59B2A9E25}"/>
                </c:ext>
              </c:extLst>
            </c:dLbl>
            <c:dLbl>
              <c:idx val="7"/>
              <c:layout/>
              <c:tx>
                <c:rich>
                  <a:bodyPr/>
                  <a:lstStyle/>
                  <a:p>
                    <a:fld id="{75796C15-A56F-47DB-9E26-C3AF9695C6D0}" type="CELLRANGE">
                      <a:rPr lang="ko-KR" altLang="en-US"/>
                      <a:pPr/>
                      <a:t>[CELLRANGE]</a:t>
                    </a:fld>
                    <a:endParaRPr lang="ko-KR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05E-4F8B-BE36-EAF59B2A9E25}"/>
                </c:ext>
              </c:extLst>
            </c:dLbl>
            <c:dLbl>
              <c:idx val="8"/>
              <c:layout/>
              <c:tx>
                <c:rich>
                  <a:bodyPr/>
                  <a:lstStyle/>
                  <a:p>
                    <a:fld id="{574C8EEF-5012-49BF-A7B6-56E36E5E9E46}" type="CELLRANGE">
                      <a:rPr lang="ko-KR" altLang="en-US"/>
                      <a:pPr/>
                      <a:t>[CELLRANGE]</a:t>
                    </a:fld>
                    <a:endParaRPr lang="ko-KR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05E-4F8B-BE36-EAF59B2A9E25}"/>
                </c:ext>
              </c:extLst>
            </c:dLbl>
            <c:dLbl>
              <c:idx val="9"/>
              <c:layout/>
              <c:tx>
                <c:rich>
                  <a:bodyPr/>
                  <a:lstStyle/>
                  <a:p>
                    <a:fld id="{2DB65FAA-900D-4A59-83C9-B5F9C6694495}" type="CELLRANGE">
                      <a:rPr lang="ko-KR" altLang="en-US"/>
                      <a:pPr/>
                      <a:t>[CELLRANGE]</a:t>
                    </a:fld>
                    <a:endParaRPr lang="ko-KR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05E-4F8B-BE36-EAF59B2A9E25}"/>
                </c:ext>
              </c:extLst>
            </c:dLbl>
            <c:dLbl>
              <c:idx val="10"/>
              <c:layout/>
              <c:tx>
                <c:rich>
                  <a:bodyPr/>
                  <a:lstStyle/>
                  <a:p>
                    <a:fld id="{62B9337C-C4B3-4B63-ABF9-C154711023C3}" type="CELLRANGE">
                      <a:rPr lang="ko-KR" altLang="en-US"/>
                      <a:pPr/>
                      <a:t>[CELLRANGE]</a:t>
                    </a:fld>
                    <a:endParaRPr lang="ko-KR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05E-4F8B-BE36-EAF59B2A9E25}"/>
                </c:ext>
              </c:extLst>
            </c:dLbl>
            <c:dLbl>
              <c:idx val="11"/>
              <c:layout/>
              <c:tx>
                <c:rich>
                  <a:bodyPr/>
                  <a:lstStyle/>
                  <a:p>
                    <a:fld id="{53B52315-C213-4D02-8507-DBB0126BEFE3}" type="CELLRANGE">
                      <a:rPr lang="ko-KR" altLang="en-US"/>
                      <a:pPr/>
                      <a:t>[CELLRANGE]</a:t>
                    </a:fld>
                    <a:endParaRPr lang="ko-KR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05E-4F8B-BE36-EAF59B2A9E25}"/>
                </c:ext>
              </c:extLst>
            </c:dLbl>
            <c:dLbl>
              <c:idx val="12"/>
              <c:layout/>
              <c:tx>
                <c:rich>
                  <a:bodyPr/>
                  <a:lstStyle/>
                  <a:p>
                    <a:fld id="{3BCA0361-91C7-4C54-B65F-1F22A2A5CBFE}" type="CELLRANGE">
                      <a:rPr lang="ko-KR" altLang="en-US"/>
                      <a:pPr/>
                      <a:t>[CELLRANGE]</a:t>
                    </a:fld>
                    <a:endParaRPr lang="ko-KR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05E-4F8B-BE36-EAF59B2A9E25}"/>
                </c:ext>
              </c:extLst>
            </c:dLbl>
            <c:dLbl>
              <c:idx val="13"/>
              <c:layout/>
              <c:tx>
                <c:rich>
                  <a:bodyPr/>
                  <a:lstStyle/>
                  <a:p>
                    <a:fld id="{D72BE1BE-FE1C-499D-A40E-FD2E2CD78795}" type="CELLRANGE">
                      <a:rPr lang="ko-KR" altLang="en-US"/>
                      <a:pPr/>
                      <a:t>[CELLRANGE]</a:t>
                    </a:fld>
                    <a:endParaRPr lang="ko-KR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05E-4F8B-BE36-EAF59B2A9E25}"/>
                </c:ext>
              </c:extLst>
            </c:dLbl>
            <c:dLbl>
              <c:idx val="14"/>
              <c:layout/>
              <c:tx>
                <c:rich>
                  <a:bodyPr/>
                  <a:lstStyle/>
                  <a:p>
                    <a:fld id="{D6C22B30-AF10-4234-9723-F5DC434F9639}" type="CELLRANGE">
                      <a:rPr lang="ko-KR" altLang="en-US"/>
                      <a:pPr/>
                      <a:t>[CELLRANGE]</a:t>
                    </a:fld>
                    <a:endParaRPr lang="ko-KR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05E-4F8B-BE36-EAF59B2A9E25}"/>
                </c:ext>
              </c:extLst>
            </c:dLbl>
            <c:dLbl>
              <c:idx val="15"/>
              <c:layout/>
              <c:tx>
                <c:rich>
                  <a:bodyPr/>
                  <a:lstStyle/>
                  <a:p>
                    <a:fld id="{B053D541-1A09-458D-9B31-927EDA408DE3}" type="CELLRANGE">
                      <a:rPr lang="ko-KR" altLang="en-US"/>
                      <a:pPr/>
                      <a:t>[CELLRANGE]</a:t>
                    </a:fld>
                    <a:endParaRPr lang="ko-KR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05E-4F8B-BE36-EAF59B2A9E25}"/>
                </c:ext>
              </c:extLst>
            </c:dLbl>
            <c:dLbl>
              <c:idx val="16"/>
              <c:layout/>
              <c:tx>
                <c:rich>
                  <a:bodyPr/>
                  <a:lstStyle/>
                  <a:p>
                    <a:fld id="{D2A65922-DDAD-4C84-A0A1-A76E1508B752}" type="CELLRANGE">
                      <a:rPr lang="ko-KR" altLang="en-US"/>
                      <a:pPr/>
                      <a:t>[CELLRANGE]</a:t>
                    </a:fld>
                    <a:endParaRPr lang="ko-KR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05E-4F8B-BE36-EAF59B2A9E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DataLabelsRange val="1"/>
                <c15:showLeaderLines val="0"/>
              </c:ext>
            </c:extLst>
          </c:dLbls>
          <c:xVal>
            <c:numRef>
              <c:f>여행경로!$E$27:$E$43</c:f>
              <c:numCache>
                <c:formatCode>General</c:formatCode>
                <c:ptCount val="17"/>
                <c:pt idx="0">
                  <c:v>55</c:v>
                </c:pt>
                <c:pt idx="1">
                  <c:v>42</c:v>
                </c:pt>
                <c:pt idx="2">
                  <c:v>50</c:v>
                </c:pt>
                <c:pt idx="3">
                  <c:v>65</c:v>
                </c:pt>
                <c:pt idx="4">
                  <c:v>35</c:v>
                </c:pt>
                <c:pt idx="5">
                  <c:v>56</c:v>
                </c:pt>
                <c:pt idx="6">
                  <c:v>42</c:v>
                </c:pt>
                <c:pt idx="7">
                  <c:v>63</c:v>
                </c:pt>
                <c:pt idx="8">
                  <c:v>37</c:v>
                </c:pt>
                <c:pt idx="9">
                  <c:v>41</c:v>
                </c:pt>
                <c:pt idx="10">
                  <c:v>67</c:v>
                </c:pt>
                <c:pt idx="11">
                  <c:v>34</c:v>
                </c:pt>
                <c:pt idx="12">
                  <c:v>33</c:v>
                </c:pt>
                <c:pt idx="13">
                  <c:v>40</c:v>
                </c:pt>
                <c:pt idx="14">
                  <c:v>30</c:v>
                </c:pt>
                <c:pt idx="15">
                  <c:v>32</c:v>
                </c:pt>
                <c:pt idx="16">
                  <c:v>45</c:v>
                </c:pt>
              </c:numCache>
            </c:numRef>
          </c:xVal>
          <c:yVal>
            <c:numRef>
              <c:f>여행경로!$F$27:$F$43</c:f>
              <c:numCache>
                <c:formatCode>General</c:formatCode>
                <c:ptCount val="17"/>
                <c:pt idx="0">
                  <c:v>85</c:v>
                </c:pt>
                <c:pt idx="1">
                  <c:v>78</c:v>
                </c:pt>
                <c:pt idx="2">
                  <c:v>42</c:v>
                </c:pt>
                <c:pt idx="3">
                  <c:v>65</c:v>
                </c:pt>
                <c:pt idx="4">
                  <c:v>42</c:v>
                </c:pt>
                <c:pt idx="5">
                  <c:v>52</c:v>
                </c:pt>
                <c:pt idx="6">
                  <c:v>63</c:v>
                </c:pt>
                <c:pt idx="7">
                  <c:v>42</c:v>
                </c:pt>
                <c:pt idx="8">
                  <c:v>84</c:v>
                </c:pt>
                <c:pt idx="9">
                  <c:v>67</c:v>
                </c:pt>
                <c:pt idx="10">
                  <c:v>47</c:v>
                </c:pt>
                <c:pt idx="11">
                  <c:v>80</c:v>
                </c:pt>
                <c:pt idx="12">
                  <c:v>30</c:v>
                </c:pt>
                <c:pt idx="13">
                  <c:v>50</c:v>
                </c:pt>
                <c:pt idx="14">
                  <c:v>10</c:v>
                </c:pt>
                <c:pt idx="15">
                  <c:v>65</c:v>
                </c:pt>
                <c:pt idx="16">
                  <c:v>64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여행경로!$D$27:$D$43</c15:f>
                <c15:dlblRangeCache>
                  <c:ptCount val="17"/>
                  <c:pt idx="0">
                    <c:v>강원</c:v>
                  </c:pt>
                  <c:pt idx="1">
                    <c:v>경기</c:v>
                  </c:pt>
                  <c:pt idx="2">
                    <c:v>경남</c:v>
                  </c:pt>
                  <c:pt idx="3">
                    <c:v>경북</c:v>
                  </c:pt>
                  <c:pt idx="4">
                    <c:v>광주</c:v>
                  </c:pt>
                  <c:pt idx="5">
                    <c:v>대구</c:v>
                  </c:pt>
                  <c:pt idx="6">
                    <c:v>대전</c:v>
                  </c:pt>
                  <c:pt idx="7">
                    <c:v>부산</c:v>
                  </c:pt>
                  <c:pt idx="8">
                    <c:v>서울</c:v>
                  </c:pt>
                  <c:pt idx="9">
                    <c:v>세종</c:v>
                  </c:pt>
                  <c:pt idx="10">
                    <c:v>울산</c:v>
                  </c:pt>
                  <c:pt idx="11">
                    <c:v>인천</c:v>
                  </c:pt>
                  <c:pt idx="12">
                    <c:v>전남</c:v>
                  </c:pt>
                  <c:pt idx="13">
                    <c:v>전북</c:v>
                  </c:pt>
                  <c:pt idx="14">
                    <c:v>제주</c:v>
                  </c:pt>
                  <c:pt idx="15">
                    <c:v>충남</c:v>
                  </c:pt>
                  <c:pt idx="16">
                    <c:v>충북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3-905E-4F8B-BE36-EAF59B2A9E25}"/>
            </c:ext>
          </c:extLst>
        </c:ser>
        <c:ser>
          <c:idx val="2"/>
          <c:order val="2"/>
          <c:tx>
            <c:v>선택</c:v>
          </c:tx>
          <c:spPr>
            <a:ln w="1905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25400">
                <a:noFill/>
              </a:ln>
              <a:effectLst/>
            </c:spPr>
          </c:marker>
          <c:xVal>
            <c:numRef>
              <c:f>여행경로!$H$27:$H$43</c:f>
              <c:numCache>
                <c:formatCode>General</c:formatCode>
                <c:ptCount val="1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</c:numCache>
            </c:numRef>
          </c:xVal>
          <c:yVal>
            <c:numRef>
              <c:f>여행경로!$I$27:$I$43</c:f>
              <c:numCache>
                <c:formatCode>General</c:formatCode>
                <c:ptCount val="1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05E-4F8B-BE36-EAF59B2A9E25}"/>
            </c:ext>
          </c:extLst>
        </c:ser>
        <c:ser>
          <c:idx val="3"/>
          <c:order val="3"/>
          <c:tx>
            <c:v>미선택</c:v>
          </c:tx>
          <c:spPr>
            <a:ln w="1905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2"/>
                <a:stretch>
                  <a:fillRect/>
                </a:stretch>
              </a:blipFill>
              <a:ln w="25400">
                <a:noFill/>
              </a:ln>
              <a:effectLst/>
            </c:spPr>
          </c:marker>
          <c:xVal>
            <c:numRef>
              <c:f>여행경로!$J$27:$J$43</c:f>
              <c:numCache>
                <c:formatCode>General</c:formatCode>
                <c:ptCount val="17"/>
                <c:pt idx="0">
                  <c:v>55</c:v>
                </c:pt>
                <c:pt idx="1">
                  <c:v>42</c:v>
                </c:pt>
                <c:pt idx="2">
                  <c:v>50</c:v>
                </c:pt>
                <c:pt idx="3">
                  <c:v>65</c:v>
                </c:pt>
                <c:pt idx="4">
                  <c:v>35</c:v>
                </c:pt>
                <c:pt idx="5">
                  <c:v>56</c:v>
                </c:pt>
                <c:pt idx="6">
                  <c:v>42</c:v>
                </c:pt>
                <c:pt idx="7">
                  <c:v>63</c:v>
                </c:pt>
                <c:pt idx="8">
                  <c:v>37</c:v>
                </c:pt>
                <c:pt idx="9">
                  <c:v>41</c:v>
                </c:pt>
                <c:pt idx="10">
                  <c:v>67</c:v>
                </c:pt>
                <c:pt idx="11">
                  <c:v>34</c:v>
                </c:pt>
                <c:pt idx="12">
                  <c:v>33</c:v>
                </c:pt>
                <c:pt idx="13">
                  <c:v>40</c:v>
                </c:pt>
                <c:pt idx="14">
                  <c:v>30</c:v>
                </c:pt>
                <c:pt idx="15">
                  <c:v>32</c:v>
                </c:pt>
                <c:pt idx="16">
                  <c:v>45</c:v>
                </c:pt>
              </c:numCache>
            </c:numRef>
          </c:xVal>
          <c:yVal>
            <c:numRef>
              <c:f>여행경로!$K$27:$K$43</c:f>
              <c:numCache>
                <c:formatCode>General</c:formatCode>
                <c:ptCount val="17"/>
                <c:pt idx="0">
                  <c:v>85</c:v>
                </c:pt>
                <c:pt idx="1">
                  <c:v>78</c:v>
                </c:pt>
                <c:pt idx="2">
                  <c:v>42</c:v>
                </c:pt>
                <c:pt idx="3">
                  <c:v>65</c:v>
                </c:pt>
                <c:pt idx="4">
                  <c:v>42</c:v>
                </c:pt>
                <c:pt idx="5">
                  <c:v>52</c:v>
                </c:pt>
                <c:pt idx="6">
                  <c:v>63</c:v>
                </c:pt>
                <c:pt idx="7">
                  <c:v>42</c:v>
                </c:pt>
                <c:pt idx="8">
                  <c:v>84</c:v>
                </c:pt>
                <c:pt idx="9">
                  <c:v>67</c:v>
                </c:pt>
                <c:pt idx="10">
                  <c:v>47</c:v>
                </c:pt>
                <c:pt idx="11">
                  <c:v>80</c:v>
                </c:pt>
                <c:pt idx="12">
                  <c:v>30</c:v>
                </c:pt>
                <c:pt idx="13">
                  <c:v>50</c:v>
                </c:pt>
                <c:pt idx="14">
                  <c:v>10</c:v>
                </c:pt>
                <c:pt idx="15">
                  <c:v>65</c:v>
                </c:pt>
                <c:pt idx="16">
                  <c:v>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05E-4F8B-BE36-EAF59B2A9E25}"/>
            </c:ext>
          </c:extLst>
        </c:ser>
        <c:ser>
          <c:idx val="4"/>
          <c:order val="4"/>
          <c:tx>
            <c:v>작대기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여행경로!$Q$27:$Q$34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여행경로!$R$27:$R$34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05E-4F8B-BE36-EAF59B2A9E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3447104"/>
        <c:axId val="62345071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v>계열1</c:v>
                </c:tx>
                <c:spPr>
                  <a:ln w="1905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여행경로!$E$27:$E$43</c15:sqref>
                        </c15:formulaRef>
                      </c:ext>
                    </c:extLst>
                    <c:numCache>
                      <c:formatCode>General</c:formatCode>
                      <c:ptCount val="17"/>
                      <c:pt idx="0">
                        <c:v>55</c:v>
                      </c:pt>
                      <c:pt idx="1">
                        <c:v>42</c:v>
                      </c:pt>
                      <c:pt idx="2">
                        <c:v>50</c:v>
                      </c:pt>
                      <c:pt idx="3">
                        <c:v>65</c:v>
                      </c:pt>
                      <c:pt idx="4">
                        <c:v>35</c:v>
                      </c:pt>
                      <c:pt idx="5">
                        <c:v>56</c:v>
                      </c:pt>
                      <c:pt idx="6">
                        <c:v>42</c:v>
                      </c:pt>
                      <c:pt idx="7">
                        <c:v>63</c:v>
                      </c:pt>
                      <c:pt idx="8">
                        <c:v>37</c:v>
                      </c:pt>
                      <c:pt idx="9">
                        <c:v>41</c:v>
                      </c:pt>
                      <c:pt idx="10">
                        <c:v>67</c:v>
                      </c:pt>
                      <c:pt idx="11">
                        <c:v>34</c:v>
                      </c:pt>
                      <c:pt idx="12">
                        <c:v>33</c:v>
                      </c:pt>
                      <c:pt idx="13">
                        <c:v>40</c:v>
                      </c:pt>
                      <c:pt idx="14">
                        <c:v>30</c:v>
                      </c:pt>
                      <c:pt idx="15">
                        <c:v>32</c:v>
                      </c:pt>
                      <c:pt idx="16">
                        <c:v>45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여행경로!$F$27:$F$43</c15:sqref>
                        </c15:formulaRef>
                      </c:ext>
                    </c:extLst>
                    <c:numCache>
                      <c:formatCode>General</c:formatCode>
                      <c:ptCount val="17"/>
                      <c:pt idx="0">
                        <c:v>85</c:v>
                      </c:pt>
                      <c:pt idx="1">
                        <c:v>78</c:v>
                      </c:pt>
                      <c:pt idx="2">
                        <c:v>42</c:v>
                      </c:pt>
                      <c:pt idx="3">
                        <c:v>65</c:v>
                      </c:pt>
                      <c:pt idx="4">
                        <c:v>42</c:v>
                      </c:pt>
                      <c:pt idx="5">
                        <c:v>52</c:v>
                      </c:pt>
                      <c:pt idx="6">
                        <c:v>63</c:v>
                      </c:pt>
                      <c:pt idx="7">
                        <c:v>42</c:v>
                      </c:pt>
                      <c:pt idx="8">
                        <c:v>84</c:v>
                      </c:pt>
                      <c:pt idx="9">
                        <c:v>67</c:v>
                      </c:pt>
                      <c:pt idx="10">
                        <c:v>47</c:v>
                      </c:pt>
                      <c:pt idx="11">
                        <c:v>80</c:v>
                      </c:pt>
                      <c:pt idx="12">
                        <c:v>30</c:v>
                      </c:pt>
                      <c:pt idx="13">
                        <c:v>50</c:v>
                      </c:pt>
                      <c:pt idx="14">
                        <c:v>10</c:v>
                      </c:pt>
                      <c:pt idx="15">
                        <c:v>65</c:v>
                      </c:pt>
                      <c:pt idx="16">
                        <c:v>64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905E-4F8B-BE36-EAF59B2A9E25}"/>
                  </c:ext>
                </c:extLst>
              </c15:ser>
            </c15:filteredScatterSeries>
          </c:ext>
        </c:extLst>
      </c:scatterChart>
      <c:valAx>
        <c:axId val="623447104"/>
        <c:scaling>
          <c:orientation val="minMax"/>
          <c:max val="100"/>
        </c:scaling>
        <c:delete val="1"/>
        <c:axPos val="b"/>
        <c:numFmt formatCode="General" sourceLinked="1"/>
        <c:majorTickMark val="none"/>
        <c:minorTickMark val="none"/>
        <c:tickLblPos val="nextTo"/>
        <c:crossAx val="623450712"/>
        <c:crosses val="autoZero"/>
        <c:crossBetween val="midCat"/>
      </c:valAx>
      <c:valAx>
        <c:axId val="623450712"/>
        <c:scaling>
          <c:orientation val="minMax"/>
          <c:max val="100"/>
        </c:scaling>
        <c:delete val="1"/>
        <c:axPos val="l"/>
        <c:numFmt formatCode="General" sourceLinked="1"/>
        <c:majorTickMark val="none"/>
        <c:minorTickMark val="none"/>
        <c:tickLblPos val="nextTo"/>
        <c:crossAx val="623447104"/>
        <c:crosses val="autoZero"/>
        <c:crossBetween val="midCat"/>
      </c:valAx>
      <c:spPr>
        <a:blipFill>
          <a:blip xmlns:r="http://schemas.openxmlformats.org/officeDocument/2006/relationships" r:embed="rId3"/>
          <a:stretch>
            <a:fillRect/>
          </a:stretch>
        </a:blip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[2022지방_1.xlsm]ㅇㅇㅇ!피벗 테이블1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회원별 </a:t>
            </a:r>
            <a:r>
              <a:rPr lang="en-US" altLang="ko-KR"/>
              <a:t>TOP5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ㅇㅇㅇ!$B$1</c:f>
              <c:strCache>
                <c:ptCount val="1"/>
                <c:pt idx="0">
                  <c:v>요약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0A4-4EEB-9E3D-7EFCC296E91D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0A4-4EEB-9E3D-7EFCC296E91D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0A4-4EEB-9E3D-7EFCC296E91D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0A4-4EEB-9E3D-7EFCC296E91D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0A4-4EEB-9E3D-7EFCC296E91D}"/>
              </c:ext>
            </c:extLst>
          </c:dPt>
          <c:cat>
            <c:strRef>
              <c:f>ㅇㅇㅇ!$A$2:$A$7</c:f>
              <c:strCache>
                <c:ptCount val="5"/>
                <c:pt idx="0">
                  <c:v>김경영</c:v>
                </c:pt>
                <c:pt idx="1">
                  <c:v>김연우</c:v>
                </c:pt>
                <c:pt idx="2">
                  <c:v>나종대</c:v>
                </c:pt>
                <c:pt idx="3">
                  <c:v>윤산하</c:v>
                </c:pt>
                <c:pt idx="4">
                  <c:v>이소윤</c:v>
                </c:pt>
              </c:strCache>
            </c:strRef>
          </c:cat>
          <c:val>
            <c:numRef>
              <c:f>ㅇㅇㅇ!$B$2:$B$7</c:f>
              <c:numCache>
                <c:formatCode>General</c:formatCode>
                <c:ptCount val="5"/>
                <c:pt idx="0">
                  <c:v>1826050</c:v>
                </c:pt>
                <c:pt idx="1">
                  <c:v>1945614</c:v>
                </c:pt>
                <c:pt idx="2">
                  <c:v>1767624</c:v>
                </c:pt>
                <c:pt idx="3">
                  <c:v>1804696</c:v>
                </c:pt>
                <c:pt idx="4">
                  <c:v>1759210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0A4-4EEB-9E3D-7EFCC296E9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579295280"/>
        <c:axId val="579294952"/>
      </c:barChart>
      <c:catAx>
        <c:axId val="57929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79294952"/>
        <c:crosses val="autoZero"/>
        <c:auto val="1"/>
        <c:lblAlgn val="ctr"/>
        <c:lblOffset val="100"/>
        <c:noMultiLvlLbl val="0"/>
      </c:catAx>
      <c:valAx>
        <c:axId val="579294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79295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[2022지방_1.xlsm]ㅇㅇㅇ!피벗 테이블2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패키지별 </a:t>
            </a:r>
            <a:r>
              <a:rPr lang="en-US" altLang="ko-KR"/>
              <a:t>TOP5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ㅇㅇㅇ!$B$9</c:f>
              <c:strCache>
                <c:ptCount val="1"/>
                <c:pt idx="0">
                  <c:v>요약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06C-4918-8336-2654B66F6D9D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06C-4918-8336-2654B66F6D9D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06C-4918-8336-2654B66F6D9D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06C-4918-8336-2654B66F6D9D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06C-4918-8336-2654B66F6D9D}"/>
              </c:ext>
            </c:extLst>
          </c:dPt>
          <c:cat>
            <c:strRef>
              <c:f>ㅇㅇㅇ!$A$10:$A$15</c:f>
              <c:strCache>
                <c:ptCount val="5"/>
                <c:pt idx="0">
                  <c:v>경남 즐거운 패키지</c:v>
                </c:pt>
                <c:pt idx="1">
                  <c:v>대구 룰루랄라 패키지</c:v>
                </c:pt>
                <c:pt idx="2">
                  <c:v>서울 베스트 패키지</c:v>
                </c:pt>
                <c:pt idx="3">
                  <c:v>전북 맛집 패키지</c:v>
                </c:pt>
                <c:pt idx="4">
                  <c:v>충북 반가워 패키지</c:v>
                </c:pt>
              </c:strCache>
            </c:strRef>
          </c:cat>
          <c:val>
            <c:numRef>
              <c:f>ㅇㅇㅇ!$B$10:$B$15</c:f>
              <c:numCache>
                <c:formatCode>General</c:formatCode>
                <c:ptCount val="5"/>
                <c:pt idx="0">
                  <c:v>1105440</c:v>
                </c:pt>
                <c:pt idx="1">
                  <c:v>1156000</c:v>
                </c:pt>
                <c:pt idx="2">
                  <c:v>1474000</c:v>
                </c:pt>
                <c:pt idx="3">
                  <c:v>2373480</c:v>
                </c:pt>
                <c:pt idx="4">
                  <c:v>1254960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06C-4918-8336-2654B66F6D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579514568"/>
        <c:axId val="579517848"/>
      </c:barChart>
      <c:catAx>
        <c:axId val="579514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79517848"/>
        <c:crosses val="autoZero"/>
        <c:auto val="1"/>
        <c:lblAlgn val="ctr"/>
        <c:lblOffset val="100"/>
        <c:noMultiLvlLbl val="0"/>
      </c:catAx>
      <c:valAx>
        <c:axId val="579517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79514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[2022지방_1.xlsm]ㅇㅇㅇ!피벗 테이블3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ㅇㅇㅇ!$B$17</c:f>
              <c:strCache>
                <c:ptCount val="1"/>
                <c:pt idx="0">
                  <c:v>요약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D7C-42C9-A45E-57A6FDCCCC03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D7C-42C9-A45E-57A6FDCCCC03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D7C-42C9-A45E-57A6FDCCCC03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D7C-42C9-A45E-57A6FDCCCC03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D7C-42C9-A45E-57A6FDCCCC03}"/>
              </c:ext>
            </c:extLst>
          </c:dPt>
          <c:cat>
            <c:strRef>
              <c:f>ㅇㅇㅇ!$A$18:$A$23</c:f>
              <c:strCache>
                <c:ptCount val="5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</c:strCache>
            </c:strRef>
          </c:cat>
          <c:val>
            <c:numRef>
              <c:f>ㅇㅇㅇ!$B$18:$B$23</c:f>
              <c:numCache>
                <c:formatCode>General</c:formatCode>
                <c:ptCount val="5"/>
                <c:pt idx="0">
                  <c:v>8594460</c:v>
                </c:pt>
                <c:pt idx="1">
                  <c:v>5619966</c:v>
                </c:pt>
                <c:pt idx="2">
                  <c:v>7175402</c:v>
                </c:pt>
                <c:pt idx="3">
                  <c:v>8051304</c:v>
                </c:pt>
                <c:pt idx="4">
                  <c:v>6264028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D7C-42C9-A45E-57A6FDCCCC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571121888"/>
        <c:axId val="571122216"/>
      </c:barChart>
      <c:catAx>
        <c:axId val="571121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71122216"/>
        <c:crosses val="autoZero"/>
        <c:auto val="1"/>
        <c:lblAlgn val="ctr"/>
        <c:lblOffset val="100"/>
        <c:noMultiLvlLbl val="0"/>
      </c:catAx>
      <c:valAx>
        <c:axId val="571122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71121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List" dx="22" fmlaLink="$D$1" fmlaRange="$A$1:$A$15" noThreeD="1" sel="15" val="0"/>
</file>

<file path=xl/ctrlProps/ctrlProp2.xml><?xml version="1.0" encoding="utf-8"?>
<formControlPr xmlns="http://schemas.microsoft.com/office/spreadsheetml/2009/9/main" objectType="List" dx="22" fmlaLink="$D$2" fmlaRange="경로" noThreeD="1" sel="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0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254000</xdr:colOff>
      <xdr:row>0</xdr:row>
      <xdr:rowOff>0</xdr:rowOff>
    </xdr:from>
    <xdr:to>
      <xdr:col>12</xdr:col>
      <xdr:colOff>596900</xdr:colOff>
      <xdr:row>6</xdr:row>
      <xdr:rowOff>114300</xdr:rowOff>
    </xdr:to>
    <xdr:pic>
      <xdr:nvPicPr>
        <xdr:cNvPr id="2" name="비행기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2000" y="0"/>
          <a:ext cx="1714500" cy="1371600"/>
        </a:xfrm>
        <a:prstGeom prst="rect">
          <a:avLst/>
        </a:prstGeom>
      </xdr:spPr>
    </xdr:pic>
    <xdr:clientData/>
  </xdr:twoCellAnchor>
  <xdr:oneCellAnchor>
    <xdr:from>
      <xdr:col>0</xdr:col>
      <xdr:colOff>269834</xdr:colOff>
      <xdr:row>0</xdr:row>
      <xdr:rowOff>0</xdr:rowOff>
    </xdr:from>
    <xdr:ext cx="3803734" cy="2487091"/>
    <xdr:sp macro="" textlink="">
      <xdr:nvSpPr>
        <xdr:cNvPr id="3" name="직사각형 2"/>
        <xdr:cNvSpPr/>
      </xdr:nvSpPr>
      <xdr:spPr>
        <a:xfrm>
          <a:off x="269834" y="0"/>
          <a:ext cx="3803734" cy="248709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ko-KR" altLang="en-US" sz="5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패키지 여행</a:t>
          </a:r>
          <a:endParaRPr lang="en-US" altLang="ko-KR" sz="54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  <a:p>
          <a:pPr algn="ctr"/>
          <a:r>
            <a:rPr lang="ko-KR" altLang="en-US" sz="5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프로그램</a:t>
          </a:r>
          <a:endParaRPr lang="en-US" altLang="ko-KR" sz="54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11</xdr:row>
          <xdr:rowOff>142875</xdr:rowOff>
        </xdr:from>
        <xdr:to>
          <xdr:col>4</xdr:col>
          <xdr:colOff>285750</xdr:colOff>
          <xdr:row>14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14</xdr:row>
          <xdr:rowOff>152400</xdr:rowOff>
        </xdr:from>
        <xdr:to>
          <xdr:col>4</xdr:col>
          <xdr:colOff>276225</xdr:colOff>
          <xdr:row>17</xdr:row>
          <xdr:rowOff>9525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1</xdr:row>
          <xdr:rowOff>180975</xdr:rowOff>
        </xdr:from>
        <xdr:to>
          <xdr:col>8</xdr:col>
          <xdr:colOff>381000</xdr:colOff>
          <xdr:row>4</xdr:row>
          <xdr:rowOff>38100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104775</xdr:rowOff>
        </xdr:from>
        <xdr:to>
          <xdr:col>7</xdr:col>
          <xdr:colOff>619125</xdr:colOff>
          <xdr:row>2</xdr:row>
          <xdr:rowOff>171450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</xdr:colOff>
          <xdr:row>0</xdr:row>
          <xdr:rowOff>95250</xdr:rowOff>
        </xdr:from>
        <xdr:to>
          <xdr:col>7</xdr:col>
          <xdr:colOff>381000</xdr:colOff>
          <xdr:row>2</xdr:row>
          <xdr:rowOff>161925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180975</xdr:colOff>
          <xdr:row>0</xdr:row>
          <xdr:rowOff>104775</xdr:rowOff>
        </xdr:from>
        <xdr:to>
          <xdr:col>7</xdr:col>
          <xdr:colOff>438150</xdr:colOff>
          <xdr:row>2</xdr:row>
          <xdr:rowOff>171450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66675</xdr:rowOff>
        </xdr:from>
        <xdr:to>
          <xdr:col>13</xdr:col>
          <xdr:colOff>457200</xdr:colOff>
          <xdr:row>291</xdr:row>
          <xdr:rowOff>133350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200025</xdr:colOff>
          <xdr:row>0</xdr:row>
          <xdr:rowOff>47625</xdr:rowOff>
        </xdr:from>
        <xdr:to>
          <xdr:col>7</xdr:col>
          <xdr:colOff>457200</xdr:colOff>
          <xdr:row>291</xdr:row>
          <xdr:rowOff>114300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0</xdr:row>
          <xdr:rowOff>104775</xdr:rowOff>
        </xdr:from>
        <xdr:to>
          <xdr:col>18</xdr:col>
          <xdr:colOff>276225</xdr:colOff>
          <xdr:row>2</xdr:row>
          <xdr:rowOff>171450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304800</xdr:colOff>
          <xdr:row>0</xdr:row>
          <xdr:rowOff>152400</xdr:rowOff>
        </xdr:from>
        <xdr:to>
          <xdr:col>1</xdr:col>
          <xdr:colOff>314325</xdr:colOff>
          <xdr:row>15</xdr:row>
          <xdr:rowOff>47625</xdr:rowOff>
        </xdr:to>
        <xdr:sp macro="" textlink="">
          <xdr:nvSpPr>
            <xdr:cNvPr id="7172" name="List Box 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209550</xdr:colOff>
          <xdr:row>0</xdr:row>
          <xdr:rowOff>161925</xdr:rowOff>
        </xdr:from>
        <xdr:to>
          <xdr:col>3</xdr:col>
          <xdr:colOff>219075</xdr:colOff>
          <xdr:row>15</xdr:row>
          <xdr:rowOff>57150</xdr:rowOff>
        </xdr:to>
        <xdr:sp macro="" textlink="">
          <xdr:nvSpPr>
            <xdr:cNvPr id="7173" name="List Box 5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400050</xdr:colOff>
      <xdr:row>3</xdr:row>
      <xdr:rowOff>180975</xdr:rowOff>
    </xdr:from>
    <xdr:to>
      <xdr:col>2</xdr:col>
      <xdr:colOff>114300</xdr:colOff>
      <xdr:row>6</xdr:row>
      <xdr:rowOff>9525</xdr:rowOff>
    </xdr:to>
    <xdr:sp macro="[0]!추가" textlink="">
      <xdr:nvSpPr>
        <xdr:cNvPr id="2" name="이등변 삼각형 1"/>
        <xdr:cNvSpPr/>
      </xdr:nvSpPr>
      <xdr:spPr>
        <a:xfrm rot="5400000">
          <a:off x="1057275" y="838200"/>
          <a:ext cx="457200" cy="400050"/>
        </a:xfrm>
        <a:prstGeom prst="triangle">
          <a:avLst/>
        </a:prstGeom>
        <a:gradFill>
          <a:gsLst>
            <a:gs pos="0">
              <a:schemeClr val="accent5">
                <a:lumMod val="7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</xdr:col>
      <xdr:colOff>390525</xdr:colOff>
      <xdr:row>8</xdr:row>
      <xdr:rowOff>190500</xdr:rowOff>
    </xdr:from>
    <xdr:to>
      <xdr:col>2</xdr:col>
      <xdr:colOff>104775</xdr:colOff>
      <xdr:row>11</xdr:row>
      <xdr:rowOff>19050</xdr:rowOff>
    </xdr:to>
    <xdr:sp macro="[0]!제거" textlink="">
      <xdr:nvSpPr>
        <xdr:cNvPr id="8" name="이등변 삼각형 7"/>
        <xdr:cNvSpPr/>
      </xdr:nvSpPr>
      <xdr:spPr>
        <a:xfrm rot="16200000" flipH="1">
          <a:off x="1047750" y="1895475"/>
          <a:ext cx="457200" cy="400050"/>
        </a:xfrm>
        <a:prstGeom prst="triangle">
          <a:avLst/>
        </a:prstGeom>
        <a:gradFill>
          <a:gsLst>
            <a:gs pos="0">
              <a:schemeClr val="accent5">
                <a:lumMod val="7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3</xdr:row>
          <xdr:rowOff>9525</xdr:rowOff>
        </xdr:from>
        <xdr:to>
          <xdr:col>18</xdr:col>
          <xdr:colOff>276225</xdr:colOff>
          <xdr:row>5</xdr:row>
          <xdr:rowOff>76200</xdr:rowOff>
        </xdr:to>
        <xdr:sp macro="" textlink="">
          <xdr:nvSpPr>
            <xdr:cNvPr id="7174" name="CommandButton2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485775</xdr:colOff>
      <xdr:row>0</xdr:row>
      <xdr:rowOff>0</xdr:rowOff>
    </xdr:from>
    <xdr:to>
      <xdr:col>15</xdr:col>
      <xdr:colOff>504825</xdr:colOff>
      <xdr:row>25</xdr:row>
      <xdr:rowOff>19050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485775</xdr:colOff>
      <xdr:row>25</xdr:row>
      <xdr:rowOff>85725</xdr:rowOff>
    </xdr:from>
    <xdr:to>
      <xdr:col>15</xdr:col>
      <xdr:colOff>476250</xdr:colOff>
      <xdr:row>27</xdr:row>
      <xdr:rowOff>200025</xdr:rowOff>
    </xdr:to>
    <xdr:sp macro="" textlink="$W$33">
      <xdr:nvSpPr>
        <xdr:cNvPr id="7" name="모서리가 둥근 직사각형 6"/>
        <xdr:cNvSpPr/>
      </xdr:nvSpPr>
      <xdr:spPr>
        <a:xfrm>
          <a:off x="2543175" y="5324475"/>
          <a:ext cx="8220075" cy="533400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E33C1165-FF58-4226-A642-1801B857AEF0}" type="TxLink">
            <a:rPr lang="en-US" altLang="en-US" sz="1100" b="0" i="0" u="none" strike="noStrike">
              <a:solidFill>
                <a:srgbClr val="000000"/>
              </a:solidFill>
              <a:latin typeface="맑은 고딕"/>
              <a:ea typeface="맑은 고딕"/>
            </a:rPr>
            <a:pPr algn="l"/>
            <a:t> </a:t>
          </a:fld>
          <a:endParaRPr lang="ko-KR" altLang="en-US" sz="1100"/>
        </a:p>
      </xdr:txBody>
    </xdr:sp>
    <xdr:clientData/>
  </xdr:twoCellAnchor>
  <xdr:twoCellAnchor>
    <xdr:from>
      <xdr:col>3</xdr:col>
      <xdr:colOff>495300</xdr:colOff>
      <xdr:row>28</xdr:row>
      <xdr:rowOff>133350</xdr:rowOff>
    </xdr:from>
    <xdr:to>
      <xdr:col>15</xdr:col>
      <xdr:colOff>485775</xdr:colOff>
      <xdr:row>31</xdr:row>
      <xdr:rowOff>38100</xdr:rowOff>
    </xdr:to>
    <xdr:sp macro="" textlink="$X$33">
      <xdr:nvSpPr>
        <xdr:cNvPr id="16" name="모서리가 둥근 직사각형 15"/>
        <xdr:cNvSpPr/>
      </xdr:nvSpPr>
      <xdr:spPr>
        <a:xfrm>
          <a:off x="2552700" y="6000750"/>
          <a:ext cx="8220075" cy="533400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004FECE1-C651-4589-BE18-B5D544ADF704}" type="TxLink">
            <a:rPr lang="en-US" altLang="en-US" sz="1100" b="0" i="0" u="none" strike="noStrike">
              <a:solidFill>
                <a:srgbClr val="000000"/>
              </a:solidFill>
              <a:latin typeface="맑은 고딕"/>
              <a:ea typeface="맑은 고딕"/>
            </a:rPr>
            <a:pPr algn="l"/>
            <a:t> </a:t>
          </a:fld>
          <a:endParaRPr lang="ko-KR" altLang="en-US" sz="1100"/>
        </a:p>
      </xdr:txBody>
    </xdr:sp>
    <xdr:clientData/>
  </xdr:twoCellAnchor>
  <xdr:twoCellAnchor>
    <xdr:from>
      <xdr:col>12</xdr:col>
      <xdr:colOff>619125</xdr:colOff>
      <xdr:row>25</xdr:row>
      <xdr:rowOff>85725</xdr:rowOff>
    </xdr:from>
    <xdr:to>
      <xdr:col>15</xdr:col>
      <xdr:colOff>476250</xdr:colOff>
      <xdr:row>27</xdr:row>
      <xdr:rowOff>200025</xdr:rowOff>
    </xdr:to>
    <xdr:sp macro="" textlink="$U$25">
      <xdr:nvSpPr>
        <xdr:cNvPr id="17" name="모서리가 둥근 직사각형 16"/>
        <xdr:cNvSpPr/>
      </xdr:nvSpPr>
      <xdr:spPr>
        <a:xfrm>
          <a:off x="8848725" y="5324475"/>
          <a:ext cx="1914525" cy="5334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21CADB2A-88A2-41DE-8725-7EB6C6D9B7D2}" type="TxLink">
            <a:rPr lang="ko-KR" altLang="en-US" sz="1100" b="0" i="0" u="none" strike="noStrike">
              <a:solidFill>
                <a:srgbClr val="000000"/>
              </a:solidFill>
              <a:latin typeface="맑은 고딕"/>
              <a:ea typeface="맑은 고딕"/>
            </a:rPr>
            <a:pPr algn="r"/>
            <a:t>총 :0km</a:t>
          </a:fld>
          <a:endParaRPr lang="ko-KR" altLang="en-US" sz="1100"/>
        </a:p>
      </xdr:txBody>
    </xdr:sp>
    <xdr:clientData/>
  </xdr:twoCellAnchor>
  <xdr:twoCellAnchor>
    <xdr:from>
      <xdr:col>12</xdr:col>
      <xdr:colOff>638175</xdr:colOff>
      <xdr:row>28</xdr:row>
      <xdr:rowOff>142875</xdr:rowOff>
    </xdr:from>
    <xdr:to>
      <xdr:col>15</xdr:col>
      <xdr:colOff>495300</xdr:colOff>
      <xdr:row>31</xdr:row>
      <xdr:rowOff>47625</xdr:rowOff>
    </xdr:to>
    <xdr:sp macro="" textlink="$V$25">
      <xdr:nvSpPr>
        <xdr:cNvPr id="18" name="모서리가 둥근 직사각형 17"/>
        <xdr:cNvSpPr/>
      </xdr:nvSpPr>
      <xdr:spPr>
        <a:xfrm>
          <a:off x="8867775" y="6010275"/>
          <a:ext cx="1914525" cy="5334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37B204D9-248F-45D3-A530-509C6EE31424}" type="TxLink">
            <a:rPr lang="ko-KR" altLang="en-US" sz="1100" b="0" i="0" u="none" strike="noStrike">
              <a:solidFill>
                <a:srgbClr val="000000"/>
              </a:solidFill>
              <a:latin typeface="맑은 고딕"/>
              <a:ea typeface="맑은 고딕"/>
            </a:rPr>
            <a:pPr algn="r"/>
            <a:t>총 :0</a:t>
          </a:fld>
          <a:endParaRPr lang="ko-KR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0</xdr:row>
          <xdr:rowOff>47625</xdr:rowOff>
        </xdr:from>
        <xdr:to>
          <xdr:col>6</xdr:col>
          <xdr:colOff>676275</xdr:colOff>
          <xdr:row>2</xdr:row>
          <xdr:rowOff>114300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0</xdr:row>
          <xdr:rowOff>95250</xdr:rowOff>
        </xdr:from>
        <xdr:to>
          <xdr:col>4</xdr:col>
          <xdr:colOff>238125</xdr:colOff>
          <xdr:row>2</xdr:row>
          <xdr:rowOff>95250</xdr:rowOff>
        </xdr:to>
        <xdr:sp macro="" textlink="">
          <xdr:nvSpPr>
            <xdr:cNvPr id="8194" name="ComboBox1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238124</xdr:colOff>
      <xdr:row>3</xdr:row>
      <xdr:rowOff>0</xdr:rowOff>
    </xdr:from>
    <xdr:to>
      <xdr:col>6</xdr:col>
      <xdr:colOff>676274</xdr:colOff>
      <xdr:row>16</xdr:row>
      <xdr:rowOff>19050</xdr:rowOff>
    </xdr:to>
    <xdr:graphicFrame macro="">
      <xdr:nvGraphicFramePr>
        <xdr:cNvPr id="4" name="차트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3</xdr:row>
      <xdr:rowOff>9525</xdr:rowOff>
    </xdr:from>
    <xdr:to>
      <xdr:col>6</xdr:col>
      <xdr:colOff>666750</xdr:colOff>
      <xdr:row>16</xdr:row>
      <xdr:rowOff>28575</xdr:rowOff>
    </xdr:to>
    <xdr:graphicFrame macro="">
      <xdr:nvGraphicFramePr>
        <xdr:cNvPr id="5" name="차트2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247650</xdr:colOff>
      <xdr:row>2</xdr:row>
      <xdr:rowOff>200025</xdr:rowOff>
    </xdr:from>
    <xdr:to>
      <xdr:col>6</xdr:col>
      <xdr:colOff>676275</xdr:colOff>
      <xdr:row>16</xdr:row>
      <xdr:rowOff>9525</xdr:rowOff>
    </xdr:to>
    <xdr:graphicFrame macro="">
      <xdr:nvGraphicFramePr>
        <xdr:cNvPr id="6" name="차트3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104775</xdr:colOff>
      <xdr:row>3</xdr:row>
      <xdr:rowOff>0</xdr:rowOff>
    </xdr:from>
    <xdr:to>
      <xdr:col>12</xdr:col>
      <xdr:colOff>9525</xdr:colOff>
      <xdr:row>10</xdr:row>
      <xdr:rowOff>161925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" name="예약날짜" hidden="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예약날짜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067300" y="628650"/>
              <a:ext cx="3333750" cy="16287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시간 표시 막대: Excel 이상에서 작동합니다. 이동하거나 크기를 조정하지 마세요.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UNGBO04" refreshedDate="44654.736234143522" createdVersion="6" refreshedVersion="6" minRefreshableVersion="3" recordCount="290">
  <cacheSource type="worksheet">
    <worksheetSource ref="A1:M1048576" sheet="분석"/>
  </cacheSource>
  <cacheFields count="14">
    <cacheField name="번호" numFmtId="0">
      <sharedItems containsString="0" containsBlank="1" containsNumber="1" containsInteger="1" minValue="1" maxValue="289"/>
    </cacheField>
    <cacheField name="회원번호" numFmtId="0">
      <sharedItems containsString="0" containsBlank="1" containsNumber="1" containsInteger="1" minValue="1" maxValue="27"/>
    </cacheField>
    <cacheField name="패키지번호" numFmtId="0">
      <sharedItems containsString="0" containsBlank="1" containsNumber="1" containsInteger="1" minValue="1" maxValue="57"/>
    </cacheField>
    <cacheField name="예약날짜" numFmtId="14">
      <sharedItems containsNonDate="0" containsDate="1" containsString="0" containsBlank="1" minDate="2022-01-01T00:00:00" maxDate="2022-05-30T00:00:00" count="131"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8T00:00:00"/>
        <d v="2022-01-19T00:00:00"/>
        <d v="2022-01-20T00:00:00"/>
        <d v="2022-01-21T00:00:00"/>
        <d v="2022-01-23T00:00:00"/>
        <d v="2022-01-24T00:00:00"/>
        <d v="2022-01-25T00:00:00"/>
        <d v="2022-01-26T00:00:00"/>
        <d v="2022-01-27T00:00:00"/>
        <d v="2022-01-28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7T00:00:00"/>
        <d v="2022-02-08T00:00:00"/>
        <d v="2022-02-09T00:00:00"/>
        <d v="2022-02-10T00:00:00"/>
        <d v="2022-02-12T00:00:00"/>
        <d v="2022-02-13T00:00:00"/>
        <d v="2022-02-14T00:00:00"/>
        <d v="2022-02-15T00:00:00"/>
        <d v="2022-02-16T00:00:00"/>
        <d v="2022-02-17T00:00:00"/>
        <d v="2022-02-19T00:00:00"/>
        <d v="2022-02-20T00:00:00"/>
        <d v="2022-02-21T00:00:00"/>
        <d v="2022-02-23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6T00:00:00"/>
        <d v="2022-04-07T00:00:00"/>
        <d v="2022-04-08T00:00:00"/>
        <d v="2022-04-09T00:00:00"/>
        <d v="2022-04-10T00:00:00"/>
        <d v="2022-04-12T00:00:00"/>
        <d v="2022-04-13T00:00:00"/>
        <d v="2022-04-14T00:00:00"/>
        <d v="2022-04-15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6T00:00:00"/>
        <d v="2022-04-27T00:00:00"/>
        <d v="2022-04-28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7T00:00:00"/>
        <d v="2022-05-28T00:00:00"/>
        <d v="2022-05-29T00:00:00"/>
        <m/>
      </sharedItems>
      <fieldGroup par="13" base="3">
        <rangePr groupBy="days" startDate="2022-01-01T00:00:00" endDate="2022-05-30T00:00:00"/>
        <groupItems count="368">
          <s v="(비어 있음)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2-05-30"/>
        </groupItems>
      </fieldGroup>
    </cacheField>
    <cacheField name="성인" numFmtId="0">
      <sharedItems containsString="0" containsBlank="1" containsNumber="1" containsInteger="1" minValue="0" maxValue="5"/>
    </cacheField>
    <cacheField name="청소년" numFmtId="0">
      <sharedItems containsString="0" containsBlank="1" containsNumber="1" containsInteger="1" minValue="0" maxValue="5"/>
    </cacheField>
    <cacheField name="어린이" numFmtId="0">
      <sharedItems containsString="0" containsBlank="1" containsNumber="1" containsInteger="1" minValue="0" maxValue="5"/>
    </cacheField>
    <cacheField name="성인금액" numFmtId="0">
      <sharedItems containsString="0" containsBlank="1" containsNumber="1" containsInteger="1" minValue="0" maxValue="171000"/>
    </cacheField>
    <cacheField name="청소년금액" numFmtId="0">
      <sharedItems containsString="0" containsBlank="1" containsNumber="1" containsInteger="1" minValue="0" maxValue="136800"/>
    </cacheField>
    <cacheField name="어린이금액" numFmtId="0">
      <sharedItems containsString="0" containsBlank="1" containsNumber="1" containsInteger="1" minValue="0" maxValue="112800"/>
    </cacheField>
    <cacheField name="금액" numFmtId="0">
      <sharedItems containsString="0" containsBlank="1" containsNumber="1" containsInteger="1" minValue="4320" maxValue="355680"/>
    </cacheField>
    <cacheField name="회원" numFmtId="0">
      <sharedItems containsBlank="1" count="28">
        <s v="김성숙"/>
        <s v="박지성"/>
        <s v="나종대"/>
        <s v="박아름"/>
        <s v="강딸기"/>
        <s v="홍길동"/>
        <s v="감예쁨"/>
        <s v="김철수"/>
        <s v="윤산하"/>
        <s v="김숙희"/>
        <s v="김경영"/>
        <s v="변백현"/>
        <s v="조민성"/>
        <s v="배보라"/>
        <s v="김연우"/>
        <s v="전자미"/>
        <s v="유하나"/>
        <s v="이소윤"/>
        <s v="조아영"/>
        <s v="하주연"/>
        <s v="김성대"/>
        <s v="홍아람"/>
        <s v="이영주"/>
        <s v="김설아"/>
        <s v="남정휴"/>
        <s v="이상구"/>
        <s v="홍성장"/>
        <m/>
      </sharedItems>
    </cacheField>
    <cacheField name="패키지" numFmtId="0">
      <sharedItems containsBlank="1" count="58">
        <s v="인천 선샤인 패키지"/>
        <s v="서울 반가워 패키지"/>
        <s v="경남 좋은 패키지"/>
        <s v="서울 선샤인 패키지"/>
        <s v="경남 할인 패키지"/>
        <s v="울산 추억 패키지"/>
        <s v="제주 룰루랄라 패키지"/>
        <s v="대전 반가워 패키지"/>
        <s v="부산 룰루랄라 패키지"/>
        <s v="전남 선샤인 패키지"/>
        <s v="서울 베스트 패키지"/>
        <s v="강원 해피 패키지"/>
        <s v="대전 최고 패키지"/>
        <s v="세종 선샤인 패키지"/>
        <s v="경남 배고파 패키지"/>
        <s v="충북 베스트 패키지"/>
        <s v="대구 추억가득 패키지"/>
        <s v="경북 행복한 패키지"/>
        <s v="부산 베스트 패키지"/>
        <s v="경기 룰루랄라 패키지"/>
        <s v="인천 행복한 패키지"/>
        <s v="경북 베스트 패키지"/>
        <s v="경북 맛집 패키지"/>
        <s v="경북 즐거운 패키지"/>
        <s v="경기 최고 패키지"/>
        <s v="광주 해피 패키지"/>
        <s v="충북 반가워 패키지"/>
        <s v="충남 베스트 패키지"/>
        <s v="전남 해피 패키지"/>
        <s v="경기 반가워 패키지"/>
        <s v="서울 즐거운 패키지"/>
        <s v="제주 반가워 패키지"/>
        <s v="강원 할인 패키지"/>
        <s v="경남 즐거운 패키지"/>
        <s v="대구 룰루랄라 패키지"/>
        <s v="전북 최고 패키지"/>
        <s v="강원 최고 패키지"/>
        <s v="서울 룰루랄라 패키지"/>
        <s v="전북 선샤인 패키지"/>
        <s v="울산 카페투어 패키지"/>
        <s v="부산 해피 패키지"/>
        <s v="울산 선샤인 패키지"/>
        <s v="경북 최고 패키지"/>
        <s v="전북 맛집 패키지"/>
        <s v="세종 또만나 패키지"/>
        <s v="경남 추억 패키지"/>
        <s v="전남 맛집 패키지"/>
        <s v="충남 룰루랄라 패키지"/>
        <s v="제주 베스트 패키지"/>
        <s v="부산 최고 패키지"/>
        <s v="부산 선샤인 패키지"/>
        <s v="강원 선샤인 패키지"/>
        <s v="광주 즐거운 패키지"/>
        <s v="인천 즐거운 패키지"/>
        <s v="부산 할인 패키지"/>
        <s v="강원 베스트 패키지"/>
        <s v="대전 행복한 패키지"/>
        <m/>
      </sharedItems>
    </cacheField>
    <cacheField name="월" numFmtId="0" databaseField="0">
      <fieldGroup base="3">
        <rangePr groupBy="months" startDate="2022-01-01T00:00:00" endDate="2022-05-30T00:00:00"/>
        <groupItems count="14">
          <s v="&lt;2022-01-01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2-05-30"/>
        </groupItems>
      </fieldGroup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90">
  <r>
    <n v="1"/>
    <n v="6"/>
    <n v="43"/>
    <x v="0"/>
    <n v="3"/>
    <n v="2"/>
    <n v="1"/>
    <n v="64800"/>
    <n v="34560"/>
    <n v="12960"/>
    <n v="112320"/>
    <x v="0"/>
    <x v="0"/>
  </r>
  <r>
    <n v="2"/>
    <n v="13"/>
    <n v="32"/>
    <x v="0"/>
    <n v="1"/>
    <n v="3"/>
    <n v="3"/>
    <n v="25500"/>
    <n v="61200"/>
    <n v="45900"/>
    <n v="132600"/>
    <x v="1"/>
    <x v="1"/>
  </r>
  <r>
    <n v="3"/>
    <n v="10"/>
    <n v="12"/>
    <x v="1"/>
    <n v="5"/>
    <n v="2"/>
    <n v="1"/>
    <n v="67500"/>
    <n v="21600"/>
    <n v="8100"/>
    <n v="97200"/>
    <x v="2"/>
    <x v="2"/>
  </r>
  <r>
    <n v="4"/>
    <n v="6"/>
    <n v="35"/>
    <x v="1"/>
    <n v="2"/>
    <n v="5"/>
    <n v="5"/>
    <n v="55800"/>
    <n v="111600"/>
    <n v="83700"/>
    <n v="251100"/>
    <x v="0"/>
    <x v="3"/>
  </r>
  <r>
    <n v="5"/>
    <n v="12"/>
    <n v="11"/>
    <x v="2"/>
    <n v="5"/>
    <n v="0"/>
    <n v="3"/>
    <n v="108000"/>
    <n v="0"/>
    <n v="38880"/>
    <n v="146880"/>
    <x v="3"/>
    <x v="4"/>
  </r>
  <r>
    <n v="6"/>
    <n v="2"/>
    <n v="41"/>
    <x v="3"/>
    <n v="2"/>
    <n v="4"/>
    <n v="4"/>
    <n v="67200"/>
    <n v="107520"/>
    <n v="80640"/>
    <n v="255360"/>
    <x v="4"/>
    <x v="5"/>
  </r>
  <r>
    <n v="7"/>
    <n v="25"/>
    <n v="53"/>
    <x v="3"/>
    <n v="1"/>
    <n v="2"/>
    <n v="1"/>
    <n v="18400"/>
    <n v="29440"/>
    <n v="11040"/>
    <n v="58880"/>
    <x v="5"/>
    <x v="6"/>
  </r>
  <r>
    <n v="8"/>
    <n v="1"/>
    <n v="23"/>
    <x v="3"/>
    <n v="2"/>
    <n v="5"/>
    <n v="1"/>
    <n v="12600"/>
    <n v="25200"/>
    <n v="3780"/>
    <n v="41580"/>
    <x v="6"/>
    <x v="7"/>
  </r>
  <r>
    <n v="9"/>
    <n v="9"/>
    <n v="30"/>
    <x v="3"/>
    <n v="5"/>
    <n v="5"/>
    <n v="0"/>
    <n v="84000"/>
    <n v="67200"/>
    <n v="0"/>
    <n v="151200"/>
    <x v="7"/>
    <x v="8"/>
  </r>
  <r>
    <n v="10"/>
    <n v="10"/>
    <n v="45"/>
    <x v="4"/>
    <n v="5"/>
    <n v="5"/>
    <n v="2"/>
    <n v="99000"/>
    <n v="79200"/>
    <n v="23760"/>
    <n v="201960"/>
    <x v="2"/>
    <x v="9"/>
  </r>
  <r>
    <n v="11"/>
    <n v="17"/>
    <n v="34"/>
    <x v="4"/>
    <n v="1"/>
    <n v="1"/>
    <n v="4"/>
    <n v="26800"/>
    <n v="21440"/>
    <n v="64320"/>
    <n v="112560"/>
    <x v="8"/>
    <x v="10"/>
  </r>
  <r>
    <n v="12"/>
    <n v="12"/>
    <n v="4"/>
    <x v="4"/>
    <n v="0"/>
    <n v="1"/>
    <n v="2"/>
    <n v="0"/>
    <n v="25296"/>
    <n v="37944"/>
    <n v="63240"/>
    <x v="3"/>
    <x v="11"/>
  </r>
  <r>
    <n v="13"/>
    <n v="1"/>
    <n v="25"/>
    <x v="5"/>
    <n v="0"/>
    <n v="1"/>
    <n v="2"/>
    <n v="0"/>
    <n v="21600"/>
    <n v="32400"/>
    <n v="54000"/>
    <x v="6"/>
    <x v="12"/>
  </r>
  <r>
    <n v="14"/>
    <n v="7"/>
    <n v="37"/>
    <x v="5"/>
    <n v="1"/>
    <n v="5"/>
    <n v="5"/>
    <n v="12600"/>
    <n v="50400"/>
    <n v="37800"/>
    <n v="100800"/>
    <x v="9"/>
    <x v="13"/>
  </r>
  <r>
    <n v="15"/>
    <n v="9"/>
    <n v="9"/>
    <x v="5"/>
    <n v="0"/>
    <n v="4"/>
    <n v="3"/>
    <n v="0"/>
    <n v="99840"/>
    <n v="56160"/>
    <n v="156000"/>
    <x v="7"/>
    <x v="14"/>
  </r>
  <r>
    <n v="16"/>
    <n v="3"/>
    <n v="57"/>
    <x v="6"/>
    <n v="4"/>
    <n v="1"/>
    <n v="0"/>
    <n v="80320"/>
    <n v="16064"/>
    <n v="0"/>
    <n v="96384"/>
    <x v="10"/>
    <x v="15"/>
  </r>
  <r>
    <n v="17"/>
    <n v="15"/>
    <n v="22"/>
    <x v="6"/>
    <n v="1"/>
    <n v="0"/>
    <n v="0"/>
    <n v="12600"/>
    <n v="0"/>
    <n v="0"/>
    <n v="12600"/>
    <x v="11"/>
    <x v="16"/>
  </r>
  <r>
    <n v="18"/>
    <n v="22"/>
    <n v="9"/>
    <x v="6"/>
    <n v="1"/>
    <n v="5"/>
    <n v="5"/>
    <n v="31200"/>
    <n v="124800"/>
    <n v="93600"/>
    <n v="249600"/>
    <x v="12"/>
    <x v="14"/>
  </r>
  <r>
    <n v="19"/>
    <n v="2"/>
    <n v="32"/>
    <x v="6"/>
    <n v="0"/>
    <n v="0"/>
    <n v="1"/>
    <n v="0"/>
    <n v="0"/>
    <n v="15300"/>
    <n v="15300"/>
    <x v="4"/>
    <x v="1"/>
  </r>
  <r>
    <n v="20"/>
    <n v="14"/>
    <n v="18"/>
    <x v="7"/>
    <n v="3"/>
    <n v="5"/>
    <n v="2"/>
    <n v="78300"/>
    <n v="104400"/>
    <n v="31320"/>
    <n v="214020"/>
    <x v="13"/>
    <x v="17"/>
  </r>
  <r>
    <n v="21"/>
    <n v="8"/>
    <n v="27"/>
    <x v="8"/>
    <n v="5"/>
    <n v="0"/>
    <n v="2"/>
    <n v="78000"/>
    <n v="0"/>
    <n v="18720"/>
    <n v="96720"/>
    <x v="14"/>
    <x v="18"/>
  </r>
  <r>
    <n v="22"/>
    <n v="10"/>
    <n v="8"/>
    <x v="8"/>
    <n v="1"/>
    <n v="5"/>
    <n v="5"/>
    <n v="21920"/>
    <n v="87680"/>
    <n v="65760"/>
    <n v="175360"/>
    <x v="2"/>
    <x v="19"/>
  </r>
  <r>
    <n v="23"/>
    <n v="21"/>
    <n v="42"/>
    <x v="8"/>
    <n v="3"/>
    <n v="5"/>
    <n v="0"/>
    <n v="21600"/>
    <n v="28800"/>
    <n v="0"/>
    <n v="50400"/>
    <x v="15"/>
    <x v="20"/>
  </r>
  <r>
    <n v="24"/>
    <n v="12"/>
    <n v="30"/>
    <x v="8"/>
    <n v="1"/>
    <n v="2"/>
    <n v="1"/>
    <n v="16800"/>
    <n v="26880"/>
    <n v="10080"/>
    <n v="53760"/>
    <x v="3"/>
    <x v="8"/>
  </r>
  <r>
    <n v="25"/>
    <n v="8"/>
    <n v="17"/>
    <x v="9"/>
    <n v="2"/>
    <n v="4"/>
    <n v="2"/>
    <n v="50400"/>
    <n v="80640"/>
    <n v="30240"/>
    <n v="161280"/>
    <x v="14"/>
    <x v="21"/>
  </r>
  <r>
    <n v="26"/>
    <n v="16"/>
    <n v="15"/>
    <x v="9"/>
    <n v="1"/>
    <n v="2"/>
    <n v="1"/>
    <n v="18900"/>
    <n v="30240"/>
    <n v="11340"/>
    <n v="60480"/>
    <x v="16"/>
    <x v="22"/>
  </r>
  <r>
    <n v="27"/>
    <n v="19"/>
    <n v="16"/>
    <x v="9"/>
    <n v="2"/>
    <n v="4"/>
    <n v="4"/>
    <n v="62400"/>
    <n v="99840"/>
    <n v="74880"/>
    <n v="237120"/>
    <x v="17"/>
    <x v="23"/>
  </r>
  <r>
    <n v="28"/>
    <n v="23"/>
    <n v="9"/>
    <x v="10"/>
    <n v="1"/>
    <n v="2"/>
    <n v="5"/>
    <n v="31200"/>
    <n v="49920"/>
    <n v="93600"/>
    <n v="174720"/>
    <x v="18"/>
    <x v="14"/>
  </r>
  <r>
    <n v="29"/>
    <n v="3"/>
    <n v="15"/>
    <x v="11"/>
    <n v="0"/>
    <n v="4"/>
    <n v="3"/>
    <n v="0"/>
    <n v="60480"/>
    <n v="34020"/>
    <n v="94500"/>
    <x v="10"/>
    <x v="22"/>
  </r>
  <r>
    <n v="30"/>
    <n v="24"/>
    <n v="12"/>
    <x v="11"/>
    <n v="2"/>
    <n v="0"/>
    <n v="3"/>
    <n v="27000"/>
    <n v="0"/>
    <n v="24300"/>
    <n v="51300"/>
    <x v="19"/>
    <x v="2"/>
  </r>
  <r>
    <n v="31"/>
    <n v="17"/>
    <n v="37"/>
    <x v="12"/>
    <n v="3"/>
    <n v="0"/>
    <n v="4"/>
    <n v="37800"/>
    <n v="0"/>
    <n v="30240"/>
    <n v="68040"/>
    <x v="8"/>
    <x v="13"/>
  </r>
  <r>
    <n v="32"/>
    <n v="10"/>
    <n v="7"/>
    <x v="12"/>
    <n v="2"/>
    <n v="4"/>
    <n v="3"/>
    <n v="52160"/>
    <n v="83456"/>
    <n v="46944"/>
    <n v="182560"/>
    <x v="2"/>
    <x v="24"/>
  </r>
  <r>
    <n v="33"/>
    <n v="25"/>
    <n v="42"/>
    <x v="12"/>
    <n v="3"/>
    <n v="0"/>
    <n v="5"/>
    <n v="21600"/>
    <n v="0"/>
    <n v="21600"/>
    <n v="43200"/>
    <x v="5"/>
    <x v="20"/>
  </r>
  <r>
    <n v="34"/>
    <n v="6"/>
    <n v="19"/>
    <x v="13"/>
    <n v="2"/>
    <n v="5"/>
    <n v="4"/>
    <n v="37800"/>
    <n v="75600"/>
    <n v="45360"/>
    <n v="158760"/>
    <x v="0"/>
    <x v="25"/>
  </r>
  <r>
    <n v="35"/>
    <n v="3"/>
    <n v="56"/>
    <x v="13"/>
    <n v="1"/>
    <n v="5"/>
    <n v="2"/>
    <n v="22410"/>
    <n v="89640"/>
    <n v="26892"/>
    <n v="138942"/>
    <x v="10"/>
    <x v="26"/>
  </r>
  <r>
    <n v="36"/>
    <n v="2"/>
    <n v="32"/>
    <x v="14"/>
    <n v="5"/>
    <n v="1"/>
    <n v="4"/>
    <n v="127500"/>
    <n v="20400"/>
    <n v="61200"/>
    <n v="209100"/>
    <x v="4"/>
    <x v="1"/>
  </r>
  <r>
    <n v="37"/>
    <n v="15"/>
    <n v="54"/>
    <x v="14"/>
    <n v="5"/>
    <n v="2"/>
    <n v="3"/>
    <n v="110700"/>
    <n v="35424"/>
    <n v="39852"/>
    <n v="185976"/>
    <x v="11"/>
    <x v="27"/>
  </r>
  <r>
    <n v="38"/>
    <n v="17"/>
    <n v="46"/>
    <x v="14"/>
    <n v="4"/>
    <n v="3"/>
    <n v="4"/>
    <n v="91200"/>
    <n v="54720"/>
    <n v="54720"/>
    <n v="200640"/>
    <x v="8"/>
    <x v="28"/>
  </r>
  <r>
    <n v="39"/>
    <n v="13"/>
    <n v="34"/>
    <x v="15"/>
    <n v="1"/>
    <n v="4"/>
    <n v="4"/>
    <n v="26800"/>
    <n v="85760"/>
    <n v="64320"/>
    <n v="176880"/>
    <x v="1"/>
    <x v="10"/>
  </r>
  <r>
    <n v="40"/>
    <n v="2"/>
    <n v="37"/>
    <x v="15"/>
    <n v="3"/>
    <n v="4"/>
    <n v="0"/>
    <n v="37800"/>
    <n v="40320"/>
    <n v="0"/>
    <n v="78120"/>
    <x v="4"/>
    <x v="13"/>
  </r>
  <r>
    <n v="41"/>
    <n v="1"/>
    <n v="8"/>
    <x v="15"/>
    <n v="4"/>
    <n v="2"/>
    <n v="1"/>
    <n v="87680"/>
    <n v="35072"/>
    <n v="13152"/>
    <n v="135904"/>
    <x v="6"/>
    <x v="19"/>
  </r>
  <r>
    <n v="42"/>
    <n v="5"/>
    <n v="43"/>
    <x v="16"/>
    <n v="1"/>
    <n v="0"/>
    <n v="2"/>
    <n v="21600"/>
    <n v="0"/>
    <n v="25920"/>
    <n v="47520"/>
    <x v="20"/>
    <x v="0"/>
  </r>
  <r>
    <n v="43"/>
    <n v="9"/>
    <n v="6"/>
    <x v="16"/>
    <n v="0"/>
    <n v="1"/>
    <n v="2"/>
    <n v="0"/>
    <n v="21440"/>
    <n v="32160"/>
    <n v="53600"/>
    <x v="7"/>
    <x v="29"/>
  </r>
  <r>
    <n v="44"/>
    <n v="27"/>
    <n v="36"/>
    <x v="17"/>
    <n v="1"/>
    <n v="3"/>
    <n v="2"/>
    <n v="20250"/>
    <n v="48600"/>
    <n v="24300"/>
    <n v="93150"/>
    <x v="21"/>
    <x v="30"/>
  </r>
  <r>
    <n v="45"/>
    <n v="13"/>
    <n v="34"/>
    <x v="17"/>
    <n v="5"/>
    <n v="3"/>
    <n v="3"/>
    <n v="134000"/>
    <n v="64320"/>
    <n v="48240"/>
    <n v="246560"/>
    <x v="1"/>
    <x v="10"/>
  </r>
  <r>
    <n v="46"/>
    <n v="20"/>
    <n v="51"/>
    <x v="17"/>
    <n v="3"/>
    <n v="1"/>
    <n v="4"/>
    <n v="29700"/>
    <n v="7920"/>
    <n v="23760"/>
    <n v="61380"/>
    <x v="22"/>
    <x v="31"/>
  </r>
  <r>
    <n v="47"/>
    <n v="25"/>
    <n v="3"/>
    <x v="17"/>
    <n v="1"/>
    <n v="2"/>
    <n v="1"/>
    <n v="26720"/>
    <n v="42752"/>
    <n v="16032"/>
    <n v="85504"/>
    <x v="5"/>
    <x v="32"/>
  </r>
  <r>
    <n v="48"/>
    <n v="4"/>
    <n v="54"/>
    <x v="18"/>
    <n v="4"/>
    <n v="1"/>
    <n v="2"/>
    <n v="88560"/>
    <n v="17712"/>
    <n v="26568"/>
    <n v="132840"/>
    <x v="23"/>
    <x v="27"/>
  </r>
  <r>
    <n v="49"/>
    <n v="15"/>
    <n v="46"/>
    <x v="19"/>
    <n v="4"/>
    <n v="5"/>
    <n v="4"/>
    <n v="91200"/>
    <n v="91200"/>
    <n v="54720"/>
    <n v="237120"/>
    <x v="11"/>
    <x v="28"/>
  </r>
  <r>
    <n v="50"/>
    <n v="24"/>
    <n v="13"/>
    <x v="19"/>
    <n v="3"/>
    <n v="3"/>
    <n v="2"/>
    <n v="112800"/>
    <n v="90240"/>
    <n v="45120"/>
    <n v="248160"/>
    <x v="19"/>
    <x v="33"/>
  </r>
  <r>
    <n v="51"/>
    <n v="20"/>
    <n v="30"/>
    <x v="19"/>
    <n v="0"/>
    <n v="4"/>
    <n v="0"/>
    <n v="0"/>
    <n v="53760"/>
    <n v="0"/>
    <n v="53760"/>
    <x v="22"/>
    <x v="8"/>
  </r>
  <r>
    <n v="52"/>
    <n v="19"/>
    <n v="21"/>
    <x v="19"/>
    <n v="5"/>
    <n v="4"/>
    <n v="2"/>
    <n v="100000"/>
    <n v="64000"/>
    <n v="24000"/>
    <n v="188000"/>
    <x v="17"/>
    <x v="34"/>
  </r>
  <r>
    <n v="53"/>
    <n v="27"/>
    <n v="7"/>
    <x v="20"/>
    <n v="0"/>
    <n v="5"/>
    <n v="0"/>
    <n v="0"/>
    <n v="104320"/>
    <n v="0"/>
    <n v="104320"/>
    <x v="21"/>
    <x v="24"/>
  </r>
  <r>
    <n v="54"/>
    <n v="15"/>
    <n v="46"/>
    <x v="21"/>
    <n v="0"/>
    <n v="1"/>
    <n v="3"/>
    <n v="0"/>
    <n v="18240"/>
    <n v="41040"/>
    <n v="59280"/>
    <x v="11"/>
    <x v="28"/>
  </r>
  <r>
    <n v="55"/>
    <n v="17"/>
    <n v="56"/>
    <x v="21"/>
    <n v="5"/>
    <n v="3"/>
    <n v="3"/>
    <n v="112050"/>
    <n v="53784"/>
    <n v="40338"/>
    <n v="206172"/>
    <x v="8"/>
    <x v="26"/>
  </r>
  <r>
    <n v="56"/>
    <n v="11"/>
    <n v="21"/>
    <x v="22"/>
    <n v="1"/>
    <n v="2"/>
    <n v="2"/>
    <n v="20000"/>
    <n v="32000"/>
    <n v="24000"/>
    <n v="76000"/>
    <x v="24"/>
    <x v="34"/>
  </r>
  <r>
    <n v="57"/>
    <n v="23"/>
    <n v="22"/>
    <x v="22"/>
    <n v="0"/>
    <n v="3"/>
    <n v="0"/>
    <n v="0"/>
    <n v="30240"/>
    <n v="0"/>
    <n v="30240"/>
    <x v="18"/>
    <x v="16"/>
  </r>
  <r>
    <n v="58"/>
    <n v="15"/>
    <n v="21"/>
    <x v="23"/>
    <n v="3"/>
    <n v="0"/>
    <n v="3"/>
    <n v="60000"/>
    <n v="0"/>
    <n v="36000"/>
    <n v="96000"/>
    <x v="11"/>
    <x v="34"/>
  </r>
  <r>
    <n v="59"/>
    <n v="18"/>
    <n v="49"/>
    <x v="23"/>
    <n v="0"/>
    <n v="1"/>
    <n v="0"/>
    <n v="0"/>
    <n v="24960"/>
    <n v="0"/>
    <n v="24960"/>
    <x v="25"/>
    <x v="35"/>
  </r>
  <r>
    <n v="60"/>
    <n v="21"/>
    <n v="1"/>
    <x v="24"/>
    <n v="0"/>
    <n v="1"/>
    <n v="5"/>
    <n v="0"/>
    <n v="14976"/>
    <n v="56160"/>
    <n v="71136"/>
    <x v="15"/>
    <x v="36"/>
  </r>
  <r>
    <n v="61"/>
    <n v="6"/>
    <n v="56"/>
    <x v="24"/>
    <n v="4"/>
    <n v="5"/>
    <n v="4"/>
    <n v="89640"/>
    <n v="89640"/>
    <n v="53784"/>
    <n v="233064"/>
    <x v="0"/>
    <x v="26"/>
  </r>
  <r>
    <n v="62"/>
    <n v="17"/>
    <n v="33"/>
    <x v="24"/>
    <n v="3"/>
    <n v="2"/>
    <n v="4"/>
    <n v="40800"/>
    <n v="21760"/>
    <n v="32640"/>
    <n v="95200"/>
    <x v="8"/>
    <x v="37"/>
  </r>
  <r>
    <n v="63"/>
    <n v="14"/>
    <n v="48"/>
    <x v="24"/>
    <n v="3"/>
    <n v="5"/>
    <n v="2"/>
    <n v="55200"/>
    <n v="73600"/>
    <n v="22080"/>
    <n v="150880"/>
    <x v="13"/>
    <x v="38"/>
  </r>
  <r>
    <n v="64"/>
    <n v="13"/>
    <n v="3"/>
    <x v="24"/>
    <n v="4"/>
    <n v="0"/>
    <n v="4"/>
    <n v="106880"/>
    <n v="0"/>
    <n v="64128"/>
    <n v="171008"/>
    <x v="1"/>
    <x v="32"/>
  </r>
  <r>
    <n v="65"/>
    <n v="9"/>
    <n v="22"/>
    <x v="25"/>
    <n v="3"/>
    <n v="2"/>
    <n v="2"/>
    <n v="37800"/>
    <n v="20160"/>
    <n v="15120"/>
    <n v="73080"/>
    <x v="7"/>
    <x v="16"/>
  </r>
  <r>
    <n v="66"/>
    <n v="5"/>
    <n v="46"/>
    <x v="25"/>
    <n v="1"/>
    <n v="4"/>
    <n v="0"/>
    <n v="22800"/>
    <n v="72960"/>
    <n v="0"/>
    <n v="95760"/>
    <x v="20"/>
    <x v="28"/>
  </r>
  <r>
    <n v="67"/>
    <n v="5"/>
    <n v="34"/>
    <x v="25"/>
    <n v="4"/>
    <n v="0"/>
    <n v="3"/>
    <n v="107200"/>
    <n v="0"/>
    <n v="48240"/>
    <n v="155440"/>
    <x v="20"/>
    <x v="10"/>
  </r>
  <r>
    <n v="68"/>
    <n v="6"/>
    <n v="39"/>
    <x v="26"/>
    <n v="1"/>
    <n v="1"/>
    <n v="4"/>
    <n v="18900"/>
    <n v="15120"/>
    <n v="45360"/>
    <n v="79380"/>
    <x v="0"/>
    <x v="39"/>
  </r>
  <r>
    <n v="69"/>
    <n v="20"/>
    <n v="21"/>
    <x v="26"/>
    <n v="0"/>
    <n v="2"/>
    <n v="5"/>
    <n v="0"/>
    <n v="32000"/>
    <n v="60000"/>
    <n v="92000"/>
    <x v="22"/>
    <x v="34"/>
  </r>
  <r>
    <n v="70"/>
    <n v="10"/>
    <n v="19"/>
    <x v="26"/>
    <n v="1"/>
    <n v="3"/>
    <n v="1"/>
    <n v="18900"/>
    <n v="45360"/>
    <n v="11340"/>
    <n v="75600"/>
    <x v="2"/>
    <x v="25"/>
  </r>
  <r>
    <n v="71"/>
    <n v="15"/>
    <n v="29"/>
    <x v="27"/>
    <n v="3"/>
    <n v="4"/>
    <n v="5"/>
    <n v="33600"/>
    <n v="35840"/>
    <n v="33600"/>
    <n v="103040"/>
    <x v="11"/>
    <x v="40"/>
  </r>
  <r>
    <n v="72"/>
    <n v="16"/>
    <n v="36"/>
    <x v="28"/>
    <n v="1"/>
    <n v="3"/>
    <n v="0"/>
    <n v="20250"/>
    <n v="48600"/>
    <n v="0"/>
    <n v="68850"/>
    <x v="16"/>
    <x v="30"/>
  </r>
  <r>
    <n v="73"/>
    <n v="8"/>
    <n v="40"/>
    <x v="28"/>
    <n v="4"/>
    <n v="5"/>
    <n v="4"/>
    <n v="102400"/>
    <n v="102400"/>
    <n v="61440"/>
    <n v="266240"/>
    <x v="14"/>
    <x v="41"/>
  </r>
  <r>
    <n v="74"/>
    <n v="20"/>
    <n v="30"/>
    <x v="29"/>
    <n v="2"/>
    <n v="0"/>
    <n v="1"/>
    <n v="33600"/>
    <n v="0"/>
    <n v="10080"/>
    <n v="43680"/>
    <x v="22"/>
    <x v="8"/>
  </r>
  <r>
    <n v="75"/>
    <n v="3"/>
    <n v="14"/>
    <x v="29"/>
    <n v="0"/>
    <n v="0"/>
    <n v="3"/>
    <n v="0"/>
    <n v="0"/>
    <n v="50400"/>
    <n v="50400"/>
    <x v="10"/>
    <x v="42"/>
  </r>
  <r>
    <n v="76"/>
    <n v="1"/>
    <n v="54"/>
    <x v="30"/>
    <n v="3"/>
    <n v="4"/>
    <n v="5"/>
    <n v="66420"/>
    <n v="70848"/>
    <n v="66420"/>
    <n v="203688"/>
    <x v="6"/>
    <x v="27"/>
  </r>
  <r>
    <n v="77"/>
    <n v="12"/>
    <n v="50"/>
    <x v="31"/>
    <n v="5"/>
    <n v="2"/>
    <n v="2"/>
    <n v="171000"/>
    <n v="54720"/>
    <n v="41040"/>
    <n v="266760"/>
    <x v="3"/>
    <x v="43"/>
  </r>
  <r>
    <n v="78"/>
    <n v="19"/>
    <n v="18"/>
    <x v="31"/>
    <n v="1"/>
    <n v="0"/>
    <n v="0"/>
    <n v="26100"/>
    <n v="0"/>
    <n v="0"/>
    <n v="26100"/>
    <x v="17"/>
    <x v="17"/>
  </r>
  <r>
    <n v="79"/>
    <n v="16"/>
    <n v="40"/>
    <x v="32"/>
    <n v="3"/>
    <n v="4"/>
    <n v="2"/>
    <n v="76800"/>
    <n v="81920"/>
    <n v="30720"/>
    <n v="189440"/>
    <x v="16"/>
    <x v="41"/>
  </r>
  <r>
    <n v="80"/>
    <n v="2"/>
    <n v="43"/>
    <x v="32"/>
    <n v="1"/>
    <n v="4"/>
    <n v="3"/>
    <n v="21600"/>
    <n v="69120"/>
    <n v="38880"/>
    <n v="129600"/>
    <x v="4"/>
    <x v="0"/>
  </r>
  <r>
    <n v="81"/>
    <n v="10"/>
    <n v="42"/>
    <x v="32"/>
    <n v="0"/>
    <n v="1"/>
    <n v="5"/>
    <n v="0"/>
    <n v="5760"/>
    <n v="21600"/>
    <n v="27360"/>
    <x v="2"/>
    <x v="20"/>
  </r>
  <r>
    <n v="82"/>
    <n v="25"/>
    <n v="23"/>
    <x v="33"/>
    <n v="0"/>
    <n v="2"/>
    <n v="5"/>
    <n v="0"/>
    <n v="10080"/>
    <n v="18900"/>
    <n v="28980"/>
    <x v="5"/>
    <x v="7"/>
  </r>
  <r>
    <n v="83"/>
    <n v="10"/>
    <n v="45"/>
    <x v="34"/>
    <n v="0"/>
    <n v="5"/>
    <n v="3"/>
    <n v="0"/>
    <n v="79200"/>
    <n v="35640"/>
    <n v="114840"/>
    <x v="2"/>
    <x v="9"/>
  </r>
  <r>
    <n v="84"/>
    <n v="7"/>
    <n v="57"/>
    <x v="35"/>
    <n v="2"/>
    <n v="0"/>
    <n v="3"/>
    <n v="40160"/>
    <n v="0"/>
    <n v="36144"/>
    <n v="76304"/>
    <x v="9"/>
    <x v="15"/>
  </r>
  <r>
    <n v="85"/>
    <n v="26"/>
    <n v="15"/>
    <x v="36"/>
    <n v="4"/>
    <n v="1"/>
    <n v="1"/>
    <n v="75600"/>
    <n v="15120"/>
    <n v="11340"/>
    <n v="102060"/>
    <x v="26"/>
    <x v="22"/>
  </r>
  <r>
    <n v="86"/>
    <n v="10"/>
    <n v="16"/>
    <x v="36"/>
    <n v="3"/>
    <n v="5"/>
    <n v="4"/>
    <n v="93600"/>
    <n v="124800"/>
    <n v="74880"/>
    <n v="293280"/>
    <x v="2"/>
    <x v="23"/>
  </r>
  <r>
    <n v="87"/>
    <n v="11"/>
    <n v="21"/>
    <x v="37"/>
    <n v="5"/>
    <n v="5"/>
    <n v="1"/>
    <n v="100000"/>
    <n v="80000"/>
    <n v="12000"/>
    <n v="192000"/>
    <x v="24"/>
    <x v="34"/>
  </r>
  <r>
    <n v="88"/>
    <n v="22"/>
    <n v="13"/>
    <x v="37"/>
    <n v="1"/>
    <n v="3"/>
    <n v="2"/>
    <n v="37600"/>
    <n v="90240"/>
    <n v="45120"/>
    <n v="172960"/>
    <x v="12"/>
    <x v="33"/>
  </r>
  <r>
    <n v="89"/>
    <n v="2"/>
    <n v="46"/>
    <x v="38"/>
    <n v="5"/>
    <n v="2"/>
    <n v="2"/>
    <n v="114000"/>
    <n v="36480"/>
    <n v="27360"/>
    <n v="177840"/>
    <x v="4"/>
    <x v="28"/>
  </r>
  <r>
    <n v="90"/>
    <n v="4"/>
    <n v="32"/>
    <x v="38"/>
    <n v="2"/>
    <n v="2"/>
    <n v="0"/>
    <n v="51000"/>
    <n v="40800"/>
    <n v="0"/>
    <n v="91800"/>
    <x v="23"/>
    <x v="1"/>
  </r>
  <r>
    <n v="91"/>
    <n v="13"/>
    <n v="38"/>
    <x v="38"/>
    <n v="3"/>
    <n v="3"/>
    <n v="2"/>
    <n v="21600"/>
    <n v="17280"/>
    <n v="8640"/>
    <n v="47520"/>
    <x v="1"/>
    <x v="44"/>
  </r>
  <r>
    <n v="92"/>
    <n v="13"/>
    <n v="49"/>
    <x v="39"/>
    <n v="2"/>
    <n v="5"/>
    <n v="3"/>
    <n v="62400"/>
    <n v="124800"/>
    <n v="56160"/>
    <n v="243360"/>
    <x v="1"/>
    <x v="35"/>
  </r>
  <r>
    <n v="93"/>
    <n v="24"/>
    <n v="36"/>
    <x v="40"/>
    <n v="4"/>
    <n v="0"/>
    <n v="3"/>
    <n v="81000"/>
    <n v="0"/>
    <n v="36450"/>
    <n v="117450"/>
    <x v="19"/>
    <x v="30"/>
  </r>
  <r>
    <n v="94"/>
    <n v="25"/>
    <n v="19"/>
    <x v="41"/>
    <n v="2"/>
    <n v="5"/>
    <n v="3"/>
    <n v="37800"/>
    <n v="75600"/>
    <n v="34020"/>
    <n v="147420"/>
    <x v="5"/>
    <x v="25"/>
  </r>
  <r>
    <n v="95"/>
    <n v="4"/>
    <n v="22"/>
    <x v="41"/>
    <n v="4"/>
    <n v="3"/>
    <n v="3"/>
    <n v="50400"/>
    <n v="30240"/>
    <n v="22680"/>
    <n v="103320"/>
    <x v="23"/>
    <x v="16"/>
  </r>
  <r>
    <n v="96"/>
    <n v="13"/>
    <n v="29"/>
    <x v="41"/>
    <n v="3"/>
    <n v="3"/>
    <n v="2"/>
    <n v="33600"/>
    <n v="26880"/>
    <n v="13440"/>
    <n v="73920"/>
    <x v="1"/>
    <x v="40"/>
  </r>
  <r>
    <n v="97"/>
    <n v="3"/>
    <n v="10"/>
    <x v="41"/>
    <n v="2"/>
    <n v="3"/>
    <n v="2"/>
    <n v="44800"/>
    <n v="53760"/>
    <n v="26880"/>
    <n v="125440"/>
    <x v="10"/>
    <x v="45"/>
  </r>
  <r>
    <n v="98"/>
    <n v="9"/>
    <n v="47"/>
    <x v="41"/>
    <n v="5"/>
    <n v="2"/>
    <n v="2"/>
    <n v="58500"/>
    <n v="18720"/>
    <n v="14040"/>
    <n v="91260"/>
    <x v="7"/>
    <x v="46"/>
  </r>
  <r>
    <n v="99"/>
    <n v="12"/>
    <n v="55"/>
    <x v="41"/>
    <n v="3"/>
    <n v="4"/>
    <n v="1"/>
    <n v="44280"/>
    <n v="47232"/>
    <n v="8856"/>
    <n v="100368"/>
    <x v="3"/>
    <x v="47"/>
  </r>
  <r>
    <n v="100"/>
    <n v="10"/>
    <n v="21"/>
    <x v="42"/>
    <n v="5"/>
    <n v="1"/>
    <n v="2"/>
    <n v="100000"/>
    <n v="16000"/>
    <n v="24000"/>
    <n v="140000"/>
    <x v="2"/>
    <x v="34"/>
  </r>
  <r>
    <n v="101"/>
    <n v="1"/>
    <n v="48"/>
    <x v="42"/>
    <n v="5"/>
    <n v="5"/>
    <n v="4"/>
    <n v="92000"/>
    <n v="73600"/>
    <n v="44160"/>
    <n v="209760"/>
    <x v="6"/>
    <x v="38"/>
  </r>
  <r>
    <n v="102"/>
    <n v="10"/>
    <n v="52"/>
    <x v="43"/>
    <n v="3"/>
    <n v="1"/>
    <n v="5"/>
    <n v="48600"/>
    <n v="12960"/>
    <n v="48600"/>
    <n v="110160"/>
    <x v="2"/>
    <x v="48"/>
  </r>
  <r>
    <n v="103"/>
    <n v="22"/>
    <n v="41"/>
    <x v="43"/>
    <n v="1"/>
    <n v="3"/>
    <n v="4"/>
    <n v="33600"/>
    <n v="80640"/>
    <n v="80640"/>
    <n v="194880"/>
    <x v="12"/>
    <x v="5"/>
  </r>
  <r>
    <n v="104"/>
    <n v="21"/>
    <n v="4"/>
    <x v="44"/>
    <n v="1"/>
    <n v="2"/>
    <n v="0"/>
    <n v="31620"/>
    <n v="50592"/>
    <n v="0"/>
    <n v="82212"/>
    <x v="15"/>
    <x v="11"/>
  </r>
  <r>
    <n v="105"/>
    <n v="10"/>
    <n v="50"/>
    <x v="44"/>
    <n v="0"/>
    <n v="3"/>
    <n v="1"/>
    <n v="0"/>
    <n v="82080"/>
    <n v="20520"/>
    <n v="102600"/>
    <x v="2"/>
    <x v="43"/>
  </r>
  <r>
    <n v="106"/>
    <n v="24"/>
    <n v="51"/>
    <x v="44"/>
    <n v="4"/>
    <n v="0"/>
    <n v="0"/>
    <n v="39600"/>
    <n v="0"/>
    <n v="0"/>
    <n v="39600"/>
    <x v="19"/>
    <x v="31"/>
  </r>
  <r>
    <n v="107"/>
    <n v="19"/>
    <n v="13"/>
    <x v="44"/>
    <n v="4"/>
    <n v="2"/>
    <n v="5"/>
    <n v="150400"/>
    <n v="60160"/>
    <n v="112800"/>
    <n v="323360"/>
    <x v="17"/>
    <x v="33"/>
  </r>
  <r>
    <n v="108"/>
    <n v="10"/>
    <n v="11"/>
    <x v="45"/>
    <n v="0"/>
    <n v="1"/>
    <n v="1"/>
    <n v="0"/>
    <n v="17280"/>
    <n v="12960"/>
    <n v="30240"/>
    <x v="2"/>
    <x v="4"/>
  </r>
  <r>
    <n v="109"/>
    <n v="6"/>
    <n v="19"/>
    <x v="45"/>
    <n v="0"/>
    <n v="2"/>
    <n v="0"/>
    <n v="0"/>
    <n v="30240"/>
    <n v="0"/>
    <n v="30240"/>
    <x v="0"/>
    <x v="25"/>
  </r>
  <r>
    <n v="110"/>
    <n v="25"/>
    <n v="56"/>
    <x v="46"/>
    <n v="3"/>
    <n v="0"/>
    <n v="0"/>
    <n v="67230"/>
    <n v="0"/>
    <n v="0"/>
    <n v="67230"/>
    <x v="5"/>
    <x v="26"/>
  </r>
  <r>
    <n v="111"/>
    <n v="6"/>
    <n v="56"/>
    <x v="46"/>
    <n v="4"/>
    <n v="3"/>
    <n v="2"/>
    <n v="89640"/>
    <n v="53784"/>
    <n v="26892"/>
    <n v="170316"/>
    <x v="0"/>
    <x v="26"/>
  </r>
  <r>
    <n v="112"/>
    <n v="18"/>
    <n v="8"/>
    <x v="46"/>
    <n v="4"/>
    <n v="3"/>
    <n v="0"/>
    <n v="87680"/>
    <n v="52608"/>
    <n v="0"/>
    <n v="140288"/>
    <x v="25"/>
    <x v="19"/>
  </r>
  <r>
    <n v="113"/>
    <n v="2"/>
    <n v="31"/>
    <x v="47"/>
    <n v="3"/>
    <n v="4"/>
    <n v="0"/>
    <n v="37800"/>
    <n v="40320"/>
    <n v="0"/>
    <n v="78120"/>
    <x v="4"/>
    <x v="49"/>
  </r>
  <r>
    <n v="114"/>
    <n v="17"/>
    <n v="28"/>
    <x v="48"/>
    <n v="5"/>
    <n v="1"/>
    <n v="3"/>
    <n v="58500"/>
    <n v="9360"/>
    <n v="21060"/>
    <n v="88920"/>
    <x v="8"/>
    <x v="50"/>
  </r>
  <r>
    <n v="115"/>
    <n v="21"/>
    <n v="28"/>
    <x v="48"/>
    <n v="0"/>
    <n v="1"/>
    <n v="4"/>
    <n v="0"/>
    <n v="9360"/>
    <n v="28080"/>
    <n v="37440"/>
    <x v="15"/>
    <x v="50"/>
  </r>
  <r>
    <n v="116"/>
    <n v="5"/>
    <n v="53"/>
    <x v="49"/>
    <n v="0"/>
    <n v="1"/>
    <n v="3"/>
    <n v="0"/>
    <n v="14720"/>
    <n v="33120"/>
    <n v="47840"/>
    <x v="20"/>
    <x v="6"/>
  </r>
  <r>
    <n v="117"/>
    <n v="9"/>
    <n v="51"/>
    <x v="49"/>
    <n v="2"/>
    <n v="4"/>
    <n v="0"/>
    <n v="19800"/>
    <n v="31680"/>
    <n v="0"/>
    <n v="51480"/>
    <x v="7"/>
    <x v="31"/>
  </r>
  <r>
    <n v="118"/>
    <n v="4"/>
    <n v="5"/>
    <x v="50"/>
    <n v="5"/>
    <n v="4"/>
    <n v="5"/>
    <n v="117600"/>
    <n v="75264"/>
    <n v="70560"/>
    <n v="263424"/>
    <x v="23"/>
    <x v="51"/>
  </r>
  <r>
    <n v="119"/>
    <n v="17"/>
    <n v="50"/>
    <x v="50"/>
    <n v="4"/>
    <n v="4"/>
    <n v="5"/>
    <n v="136800"/>
    <n v="109440"/>
    <n v="102600"/>
    <n v="348840"/>
    <x v="8"/>
    <x v="43"/>
  </r>
  <r>
    <n v="120"/>
    <n v="5"/>
    <n v="50"/>
    <x v="51"/>
    <n v="0"/>
    <n v="0"/>
    <n v="3"/>
    <n v="0"/>
    <n v="0"/>
    <n v="61560"/>
    <n v="61560"/>
    <x v="20"/>
    <x v="43"/>
  </r>
  <r>
    <n v="121"/>
    <n v="9"/>
    <n v="48"/>
    <x v="52"/>
    <n v="2"/>
    <n v="3"/>
    <n v="5"/>
    <n v="36800"/>
    <n v="44160"/>
    <n v="55200"/>
    <n v="136160"/>
    <x v="7"/>
    <x v="38"/>
  </r>
  <r>
    <n v="122"/>
    <n v="23"/>
    <n v="31"/>
    <x v="52"/>
    <n v="4"/>
    <n v="2"/>
    <n v="0"/>
    <n v="50400"/>
    <n v="20160"/>
    <n v="0"/>
    <n v="70560"/>
    <x v="18"/>
    <x v="49"/>
  </r>
  <r>
    <n v="123"/>
    <n v="14"/>
    <n v="43"/>
    <x v="52"/>
    <n v="5"/>
    <n v="2"/>
    <n v="0"/>
    <n v="108000"/>
    <n v="34560"/>
    <n v="0"/>
    <n v="142560"/>
    <x v="13"/>
    <x v="0"/>
  </r>
  <r>
    <n v="124"/>
    <n v="6"/>
    <n v="1"/>
    <x v="53"/>
    <n v="1"/>
    <n v="5"/>
    <n v="0"/>
    <n v="18720"/>
    <n v="74880"/>
    <n v="0"/>
    <n v="93600"/>
    <x v="0"/>
    <x v="36"/>
  </r>
  <r>
    <n v="125"/>
    <n v="14"/>
    <n v="5"/>
    <x v="54"/>
    <n v="0"/>
    <n v="1"/>
    <n v="0"/>
    <n v="0"/>
    <n v="18816"/>
    <n v="0"/>
    <n v="18816"/>
    <x v="13"/>
    <x v="51"/>
  </r>
  <r>
    <n v="126"/>
    <n v="18"/>
    <n v="28"/>
    <x v="54"/>
    <n v="0"/>
    <n v="5"/>
    <n v="3"/>
    <n v="0"/>
    <n v="46800"/>
    <n v="21060"/>
    <n v="67860"/>
    <x v="25"/>
    <x v="50"/>
  </r>
  <r>
    <n v="127"/>
    <n v="6"/>
    <n v="54"/>
    <x v="54"/>
    <n v="5"/>
    <n v="2"/>
    <n v="5"/>
    <n v="110700"/>
    <n v="35424"/>
    <n v="66420"/>
    <n v="212544"/>
    <x v="0"/>
    <x v="27"/>
  </r>
  <r>
    <n v="128"/>
    <n v="12"/>
    <n v="12"/>
    <x v="54"/>
    <n v="2"/>
    <n v="2"/>
    <n v="3"/>
    <n v="27000"/>
    <n v="21600"/>
    <n v="24300"/>
    <n v="72900"/>
    <x v="3"/>
    <x v="2"/>
  </r>
  <r>
    <n v="129"/>
    <n v="14"/>
    <n v="8"/>
    <x v="55"/>
    <n v="4"/>
    <n v="1"/>
    <n v="2"/>
    <n v="87680"/>
    <n v="17536"/>
    <n v="26304"/>
    <n v="131520"/>
    <x v="13"/>
    <x v="19"/>
  </r>
  <r>
    <n v="130"/>
    <n v="25"/>
    <n v="19"/>
    <x v="55"/>
    <n v="0"/>
    <n v="0"/>
    <n v="3"/>
    <n v="0"/>
    <n v="0"/>
    <n v="34020"/>
    <n v="34020"/>
    <x v="5"/>
    <x v="25"/>
  </r>
  <r>
    <n v="131"/>
    <n v="11"/>
    <n v="53"/>
    <x v="56"/>
    <n v="0"/>
    <n v="5"/>
    <n v="4"/>
    <n v="0"/>
    <n v="73600"/>
    <n v="44160"/>
    <n v="117760"/>
    <x v="24"/>
    <x v="6"/>
  </r>
  <r>
    <n v="132"/>
    <n v="3"/>
    <n v="17"/>
    <x v="57"/>
    <n v="2"/>
    <n v="1"/>
    <n v="4"/>
    <n v="50400"/>
    <n v="20160"/>
    <n v="60480"/>
    <n v="131040"/>
    <x v="10"/>
    <x v="21"/>
  </r>
  <r>
    <n v="133"/>
    <n v="7"/>
    <n v="19"/>
    <x v="58"/>
    <n v="2"/>
    <n v="4"/>
    <n v="0"/>
    <n v="37800"/>
    <n v="60480"/>
    <n v="0"/>
    <n v="98280"/>
    <x v="9"/>
    <x v="25"/>
  </r>
  <r>
    <n v="134"/>
    <n v="7"/>
    <n v="48"/>
    <x v="58"/>
    <n v="4"/>
    <n v="3"/>
    <n v="5"/>
    <n v="73600"/>
    <n v="44160"/>
    <n v="55200"/>
    <n v="172960"/>
    <x v="9"/>
    <x v="38"/>
  </r>
  <r>
    <n v="135"/>
    <n v="26"/>
    <n v="51"/>
    <x v="59"/>
    <n v="4"/>
    <n v="5"/>
    <n v="4"/>
    <n v="39600"/>
    <n v="39600"/>
    <n v="23760"/>
    <n v="102960"/>
    <x v="26"/>
    <x v="31"/>
  </r>
  <r>
    <n v="136"/>
    <n v="5"/>
    <n v="31"/>
    <x v="60"/>
    <n v="1"/>
    <n v="4"/>
    <n v="0"/>
    <n v="12600"/>
    <n v="40320"/>
    <n v="0"/>
    <n v="52920"/>
    <x v="20"/>
    <x v="49"/>
  </r>
  <r>
    <n v="137"/>
    <n v="14"/>
    <n v="7"/>
    <x v="60"/>
    <n v="4"/>
    <n v="4"/>
    <n v="0"/>
    <n v="104320"/>
    <n v="83456"/>
    <n v="0"/>
    <n v="187776"/>
    <x v="13"/>
    <x v="24"/>
  </r>
  <r>
    <n v="138"/>
    <n v="2"/>
    <n v="6"/>
    <x v="60"/>
    <n v="5"/>
    <n v="0"/>
    <n v="5"/>
    <n v="134000"/>
    <n v="0"/>
    <n v="80400"/>
    <n v="214400"/>
    <x v="4"/>
    <x v="29"/>
  </r>
  <r>
    <n v="139"/>
    <n v="19"/>
    <n v="50"/>
    <x v="60"/>
    <n v="5"/>
    <n v="2"/>
    <n v="1"/>
    <n v="171000"/>
    <n v="54720"/>
    <n v="20520"/>
    <n v="246240"/>
    <x v="17"/>
    <x v="43"/>
  </r>
  <r>
    <n v="140"/>
    <n v="22"/>
    <n v="34"/>
    <x v="61"/>
    <n v="5"/>
    <n v="3"/>
    <n v="4"/>
    <n v="134000"/>
    <n v="64320"/>
    <n v="64320"/>
    <n v="262640"/>
    <x v="12"/>
    <x v="10"/>
  </r>
  <r>
    <n v="141"/>
    <n v="6"/>
    <n v="40"/>
    <x v="62"/>
    <n v="0"/>
    <n v="3"/>
    <n v="0"/>
    <n v="0"/>
    <n v="61440"/>
    <n v="0"/>
    <n v="61440"/>
    <x v="0"/>
    <x v="41"/>
  </r>
  <r>
    <n v="142"/>
    <n v="2"/>
    <n v="57"/>
    <x v="63"/>
    <n v="2"/>
    <n v="1"/>
    <n v="4"/>
    <n v="40160"/>
    <n v="16064"/>
    <n v="48192"/>
    <n v="104416"/>
    <x v="4"/>
    <x v="15"/>
  </r>
  <r>
    <n v="143"/>
    <n v="24"/>
    <n v="33"/>
    <x v="63"/>
    <n v="4"/>
    <n v="4"/>
    <n v="2"/>
    <n v="54400"/>
    <n v="43520"/>
    <n v="16320"/>
    <n v="114240"/>
    <x v="19"/>
    <x v="37"/>
  </r>
  <r>
    <n v="144"/>
    <n v="5"/>
    <n v="50"/>
    <x v="63"/>
    <n v="5"/>
    <n v="2"/>
    <n v="4"/>
    <n v="171000"/>
    <n v="54720"/>
    <n v="82080"/>
    <n v="307800"/>
    <x v="20"/>
    <x v="43"/>
  </r>
  <r>
    <n v="145"/>
    <n v="24"/>
    <n v="38"/>
    <x v="64"/>
    <n v="0"/>
    <n v="3"/>
    <n v="4"/>
    <n v="0"/>
    <n v="17280"/>
    <n v="17280"/>
    <n v="34560"/>
    <x v="19"/>
    <x v="44"/>
  </r>
  <r>
    <n v="146"/>
    <n v="21"/>
    <n v="13"/>
    <x v="65"/>
    <n v="0"/>
    <n v="4"/>
    <n v="4"/>
    <n v="0"/>
    <n v="120320"/>
    <n v="90240"/>
    <n v="210560"/>
    <x v="15"/>
    <x v="33"/>
  </r>
  <r>
    <n v="147"/>
    <n v="27"/>
    <n v="21"/>
    <x v="66"/>
    <n v="1"/>
    <n v="4"/>
    <n v="0"/>
    <n v="20000"/>
    <n v="64000"/>
    <n v="0"/>
    <n v="84000"/>
    <x v="21"/>
    <x v="34"/>
  </r>
  <r>
    <n v="148"/>
    <n v="16"/>
    <n v="41"/>
    <x v="67"/>
    <n v="0"/>
    <n v="2"/>
    <n v="3"/>
    <n v="0"/>
    <n v="53760"/>
    <n v="60480"/>
    <n v="114240"/>
    <x v="16"/>
    <x v="5"/>
  </r>
  <r>
    <n v="149"/>
    <n v="1"/>
    <n v="36"/>
    <x v="67"/>
    <n v="2"/>
    <n v="5"/>
    <n v="1"/>
    <n v="40500"/>
    <n v="81000"/>
    <n v="12150"/>
    <n v="133650"/>
    <x v="6"/>
    <x v="30"/>
  </r>
  <r>
    <n v="150"/>
    <n v="14"/>
    <n v="25"/>
    <x v="67"/>
    <n v="4"/>
    <n v="0"/>
    <n v="5"/>
    <n v="108000"/>
    <n v="0"/>
    <n v="81000"/>
    <n v="189000"/>
    <x v="13"/>
    <x v="12"/>
  </r>
  <r>
    <n v="151"/>
    <n v="18"/>
    <n v="40"/>
    <x v="67"/>
    <n v="0"/>
    <n v="0"/>
    <n v="3"/>
    <n v="0"/>
    <n v="0"/>
    <n v="46080"/>
    <n v="46080"/>
    <x v="25"/>
    <x v="41"/>
  </r>
  <r>
    <n v="152"/>
    <n v="18"/>
    <n v="18"/>
    <x v="68"/>
    <n v="1"/>
    <n v="0"/>
    <n v="2"/>
    <n v="26100"/>
    <n v="0"/>
    <n v="31320"/>
    <n v="57420"/>
    <x v="25"/>
    <x v="17"/>
  </r>
  <r>
    <n v="153"/>
    <n v="22"/>
    <n v="15"/>
    <x v="68"/>
    <n v="0"/>
    <n v="2"/>
    <n v="4"/>
    <n v="0"/>
    <n v="30240"/>
    <n v="45360"/>
    <n v="75600"/>
    <x v="12"/>
    <x v="22"/>
  </r>
  <r>
    <n v="154"/>
    <n v="18"/>
    <n v="46"/>
    <x v="68"/>
    <n v="0"/>
    <n v="2"/>
    <n v="5"/>
    <n v="0"/>
    <n v="36480"/>
    <n v="68400"/>
    <n v="104880"/>
    <x v="25"/>
    <x v="28"/>
  </r>
  <r>
    <n v="155"/>
    <n v="15"/>
    <n v="45"/>
    <x v="69"/>
    <n v="0"/>
    <n v="0"/>
    <n v="1"/>
    <n v="0"/>
    <n v="0"/>
    <n v="11880"/>
    <n v="11880"/>
    <x v="11"/>
    <x v="9"/>
  </r>
  <r>
    <n v="156"/>
    <n v="20"/>
    <n v="55"/>
    <x v="69"/>
    <n v="0"/>
    <n v="2"/>
    <n v="4"/>
    <n v="0"/>
    <n v="23616"/>
    <n v="35424"/>
    <n v="59040"/>
    <x v="22"/>
    <x v="47"/>
  </r>
  <r>
    <n v="157"/>
    <n v="4"/>
    <n v="48"/>
    <x v="69"/>
    <n v="3"/>
    <n v="2"/>
    <n v="1"/>
    <n v="55200"/>
    <n v="29440"/>
    <n v="11040"/>
    <n v="95680"/>
    <x v="23"/>
    <x v="38"/>
  </r>
  <r>
    <n v="158"/>
    <n v="21"/>
    <n v="3"/>
    <x v="69"/>
    <n v="2"/>
    <n v="0"/>
    <n v="4"/>
    <n v="53440"/>
    <n v="0"/>
    <n v="64128"/>
    <n v="117568"/>
    <x v="15"/>
    <x v="32"/>
  </r>
  <r>
    <n v="159"/>
    <n v="3"/>
    <n v="34"/>
    <x v="70"/>
    <n v="4"/>
    <n v="2"/>
    <n v="2"/>
    <n v="107200"/>
    <n v="42880"/>
    <n v="32160"/>
    <n v="182240"/>
    <x v="10"/>
    <x v="10"/>
  </r>
  <r>
    <n v="160"/>
    <n v="23"/>
    <n v="57"/>
    <x v="70"/>
    <n v="3"/>
    <n v="0"/>
    <n v="0"/>
    <n v="60240"/>
    <n v="0"/>
    <n v="0"/>
    <n v="60240"/>
    <x v="18"/>
    <x v="15"/>
  </r>
  <r>
    <n v="161"/>
    <n v="10"/>
    <n v="3"/>
    <x v="70"/>
    <n v="4"/>
    <n v="0"/>
    <n v="2"/>
    <n v="106880"/>
    <n v="0"/>
    <n v="32064"/>
    <n v="138944"/>
    <x v="2"/>
    <x v="32"/>
  </r>
  <r>
    <n v="162"/>
    <n v="24"/>
    <n v="57"/>
    <x v="70"/>
    <n v="1"/>
    <n v="1"/>
    <n v="5"/>
    <n v="20080"/>
    <n v="16064"/>
    <n v="60240"/>
    <n v="96384"/>
    <x v="19"/>
    <x v="15"/>
  </r>
  <r>
    <n v="163"/>
    <n v="14"/>
    <n v="51"/>
    <x v="70"/>
    <n v="0"/>
    <n v="2"/>
    <n v="3"/>
    <n v="0"/>
    <n v="15840"/>
    <n v="17820"/>
    <n v="33660"/>
    <x v="13"/>
    <x v="31"/>
  </r>
  <r>
    <n v="164"/>
    <n v="11"/>
    <n v="22"/>
    <x v="71"/>
    <n v="0"/>
    <n v="3"/>
    <n v="1"/>
    <n v="0"/>
    <n v="30240"/>
    <n v="7560"/>
    <n v="37800"/>
    <x v="24"/>
    <x v="16"/>
  </r>
  <r>
    <n v="165"/>
    <n v="19"/>
    <n v="9"/>
    <x v="72"/>
    <n v="1"/>
    <n v="4"/>
    <n v="5"/>
    <n v="31200"/>
    <n v="99840"/>
    <n v="93600"/>
    <n v="224640"/>
    <x v="17"/>
    <x v="14"/>
  </r>
  <r>
    <n v="166"/>
    <n v="11"/>
    <n v="47"/>
    <x v="72"/>
    <n v="2"/>
    <n v="5"/>
    <n v="2"/>
    <n v="23400"/>
    <n v="46800"/>
    <n v="14040"/>
    <n v="84240"/>
    <x v="24"/>
    <x v="46"/>
  </r>
  <r>
    <n v="167"/>
    <n v="19"/>
    <n v="20"/>
    <x v="73"/>
    <n v="1"/>
    <n v="1"/>
    <n v="2"/>
    <n v="23800"/>
    <n v="19040"/>
    <n v="28560"/>
    <n v="71400"/>
    <x v="17"/>
    <x v="52"/>
  </r>
  <r>
    <n v="168"/>
    <n v="19"/>
    <n v="38"/>
    <x v="74"/>
    <n v="4"/>
    <n v="5"/>
    <n v="1"/>
    <n v="28800"/>
    <n v="28800"/>
    <n v="4320"/>
    <n v="61920"/>
    <x v="17"/>
    <x v="44"/>
  </r>
  <r>
    <n v="169"/>
    <n v="7"/>
    <n v="52"/>
    <x v="75"/>
    <n v="4"/>
    <n v="4"/>
    <n v="3"/>
    <n v="64800"/>
    <n v="51840"/>
    <n v="29160"/>
    <n v="145800"/>
    <x v="9"/>
    <x v="48"/>
  </r>
  <r>
    <n v="170"/>
    <n v="1"/>
    <n v="50"/>
    <x v="76"/>
    <n v="2"/>
    <n v="4"/>
    <n v="1"/>
    <n v="68400"/>
    <n v="109440"/>
    <n v="20520"/>
    <n v="198360"/>
    <x v="6"/>
    <x v="43"/>
  </r>
  <r>
    <n v="171"/>
    <n v="15"/>
    <n v="51"/>
    <x v="77"/>
    <n v="5"/>
    <n v="3"/>
    <n v="4"/>
    <n v="49500"/>
    <n v="23760"/>
    <n v="23760"/>
    <n v="97020"/>
    <x v="11"/>
    <x v="31"/>
  </r>
  <r>
    <n v="172"/>
    <n v="25"/>
    <n v="35"/>
    <x v="77"/>
    <n v="5"/>
    <n v="1"/>
    <n v="4"/>
    <n v="139500"/>
    <n v="22320"/>
    <n v="66960"/>
    <n v="228780"/>
    <x v="5"/>
    <x v="3"/>
  </r>
  <r>
    <n v="173"/>
    <n v="16"/>
    <n v="6"/>
    <x v="77"/>
    <n v="5"/>
    <n v="5"/>
    <n v="2"/>
    <n v="134000"/>
    <n v="107200"/>
    <n v="32160"/>
    <n v="273360"/>
    <x v="16"/>
    <x v="29"/>
  </r>
  <r>
    <n v="174"/>
    <n v="12"/>
    <n v="28"/>
    <x v="77"/>
    <n v="4"/>
    <n v="1"/>
    <n v="3"/>
    <n v="46800"/>
    <n v="9360"/>
    <n v="21060"/>
    <n v="77220"/>
    <x v="3"/>
    <x v="50"/>
  </r>
  <r>
    <n v="175"/>
    <n v="13"/>
    <n v="49"/>
    <x v="78"/>
    <n v="1"/>
    <n v="4"/>
    <n v="5"/>
    <n v="31200"/>
    <n v="99840"/>
    <n v="93600"/>
    <n v="224640"/>
    <x v="1"/>
    <x v="35"/>
  </r>
  <r>
    <n v="176"/>
    <n v="12"/>
    <n v="53"/>
    <x v="78"/>
    <n v="0"/>
    <n v="3"/>
    <n v="3"/>
    <n v="0"/>
    <n v="44160"/>
    <n v="33120"/>
    <n v="77280"/>
    <x v="3"/>
    <x v="6"/>
  </r>
  <r>
    <n v="177"/>
    <n v="26"/>
    <n v="55"/>
    <x v="78"/>
    <n v="5"/>
    <n v="1"/>
    <n v="3"/>
    <n v="73800"/>
    <n v="11808"/>
    <n v="26568"/>
    <n v="112176"/>
    <x v="26"/>
    <x v="47"/>
  </r>
  <r>
    <n v="178"/>
    <n v="21"/>
    <n v="44"/>
    <x v="79"/>
    <n v="3"/>
    <n v="2"/>
    <n v="3"/>
    <n v="43200"/>
    <n v="23040"/>
    <n v="25920"/>
    <n v="92160"/>
    <x v="15"/>
    <x v="53"/>
  </r>
  <r>
    <n v="179"/>
    <n v="12"/>
    <n v="40"/>
    <x v="79"/>
    <n v="5"/>
    <n v="2"/>
    <n v="5"/>
    <n v="128000"/>
    <n v="40960"/>
    <n v="76800"/>
    <n v="245760"/>
    <x v="3"/>
    <x v="41"/>
  </r>
  <r>
    <n v="180"/>
    <n v="8"/>
    <n v="49"/>
    <x v="79"/>
    <n v="1"/>
    <n v="0"/>
    <n v="5"/>
    <n v="31200"/>
    <n v="0"/>
    <n v="93600"/>
    <n v="124800"/>
    <x v="14"/>
    <x v="35"/>
  </r>
  <r>
    <n v="181"/>
    <n v="11"/>
    <n v="56"/>
    <x v="80"/>
    <n v="3"/>
    <n v="4"/>
    <n v="5"/>
    <n v="67230"/>
    <n v="71712"/>
    <n v="67230"/>
    <n v="206172"/>
    <x v="24"/>
    <x v="26"/>
  </r>
  <r>
    <n v="182"/>
    <n v="3"/>
    <n v="32"/>
    <x v="81"/>
    <n v="5"/>
    <n v="5"/>
    <n v="2"/>
    <n v="127500"/>
    <n v="102000"/>
    <n v="30600"/>
    <n v="260100"/>
    <x v="10"/>
    <x v="1"/>
  </r>
  <r>
    <n v="183"/>
    <n v="18"/>
    <n v="23"/>
    <x v="81"/>
    <n v="1"/>
    <n v="0"/>
    <n v="2"/>
    <n v="6300"/>
    <n v="0"/>
    <n v="7560"/>
    <n v="13860"/>
    <x v="25"/>
    <x v="7"/>
  </r>
  <r>
    <n v="184"/>
    <n v="8"/>
    <n v="39"/>
    <x v="81"/>
    <n v="4"/>
    <n v="1"/>
    <n v="2"/>
    <n v="75600"/>
    <n v="15120"/>
    <n v="22680"/>
    <n v="113400"/>
    <x v="14"/>
    <x v="39"/>
  </r>
  <r>
    <n v="185"/>
    <n v="23"/>
    <n v="12"/>
    <x v="82"/>
    <n v="4"/>
    <n v="2"/>
    <n v="2"/>
    <n v="54000"/>
    <n v="21600"/>
    <n v="16200"/>
    <n v="91800"/>
    <x v="18"/>
    <x v="2"/>
  </r>
  <r>
    <n v="186"/>
    <n v="14"/>
    <n v="44"/>
    <x v="82"/>
    <n v="3"/>
    <n v="3"/>
    <n v="4"/>
    <n v="43200"/>
    <n v="34560"/>
    <n v="34560"/>
    <n v="112320"/>
    <x v="13"/>
    <x v="53"/>
  </r>
  <r>
    <n v="187"/>
    <n v="24"/>
    <n v="32"/>
    <x v="82"/>
    <n v="0"/>
    <n v="3"/>
    <n v="5"/>
    <n v="0"/>
    <n v="61200"/>
    <n v="76500"/>
    <n v="137700"/>
    <x v="19"/>
    <x v="1"/>
  </r>
  <r>
    <n v="188"/>
    <n v="3"/>
    <n v="10"/>
    <x v="82"/>
    <n v="2"/>
    <n v="5"/>
    <n v="3"/>
    <n v="44800"/>
    <n v="89600"/>
    <n v="40320"/>
    <n v="174720"/>
    <x v="10"/>
    <x v="45"/>
  </r>
  <r>
    <n v="189"/>
    <n v="20"/>
    <n v="18"/>
    <x v="82"/>
    <n v="2"/>
    <n v="5"/>
    <n v="0"/>
    <n v="52200"/>
    <n v="104400"/>
    <n v="0"/>
    <n v="156600"/>
    <x v="22"/>
    <x v="17"/>
  </r>
  <r>
    <n v="190"/>
    <n v="3"/>
    <n v="56"/>
    <x v="83"/>
    <n v="4"/>
    <n v="5"/>
    <n v="4"/>
    <n v="89640"/>
    <n v="89640"/>
    <n v="53784"/>
    <n v="233064"/>
    <x v="10"/>
    <x v="26"/>
  </r>
  <r>
    <n v="191"/>
    <n v="7"/>
    <n v="25"/>
    <x v="83"/>
    <n v="4"/>
    <n v="3"/>
    <n v="1"/>
    <n v="108000"/>
    <n v="64800"/>
    <n v="16200"/>
    <n v="189000"/>
    <x v="9"/>
    <x v="12"/>
  </r>
  <r>
    <n v="192"/>
    <n v="23"/>
    <n v="43"/>
    <x v="83"/>
    <n v="2"/>
    <n v="5"/>
    <n v="5"/>
    <n v="43200"/>
    <n v="86400"/>
    <n v="64800"/>
    <n v="194400"/>
    <x v="18"/>
    <x v="0"/>
  </r>
  <r>
    <n v="193"/>
    <n v="27"/>
    <n v="47"/>
    <x v="83"/>
    <n v="0"/>
    <n v="0"/>
    <n v="4"/>
    <n v="0"/>
    <n v="0"/>
    <n v="28080"/>
    <n v="28080"/>
    <x v="21"/>
    <x v="46"/>
  </r>
  <r>
    <n v="194"/>
    <n v="3"/>
    <n v="19"/>
    <x v="84"/>
    <n v="2"/>
    <n v="2"/>
    <n v="1"/>
    <n v="37800"/>
    <n v="30240"/>
    <n v="11340"/>
    <n v="79380"/>
    <x v="10"/>
    <x v="25"/>
  </r>
  <r>
    <n v="195"/>
    <n v="18"/>
    <n v="20"/>
    <x v="84"/>
    <n v="1"/>
    <n v="5"/>
    <n v="4"/>
    <n v="23800"/>
    <n v="95200"/>
    <n v="57120"/>
    <n v="176120"/>
    <x v="25"/>
    <x v="52"/>
  </r>
  <r>
    <n v="196"/>
    <n v="16"/>
    <n v="5"/>
    <x v="84"/>
    <n v="5"/>
    <n v="5"/>
    <n v="4"/>
    <n v="117600"/>
    <n v="94080"/>
    <n v="56448"/>
    <n v="268128"/>
    <x v="16"/>
    <x v="51"/>
  </r>
  <r>
    <n v="197"/>
    <n v="19"/>
    <n v="36"/>
    <x v="84"/>
    <n v="0"/>
    <n v="2"/>
    <n v="5"/>
    <n v="0"/>
    <n v="32400"/>
    <n v="60750"/>
    <n v="93150"/>
    <x v="17"/>
    <x v="30"/>
  </r>
  <r>
    <n v="198"/>
    <n v="27"/>
    <n v="50"/>
    <x v="84"/>
    <n v="5"/>
    <n v="3"/>
    <n v="5"/>
    <n v="171000"/>
    <n v="82080"/>
    <n v="102600"/>
    <n v="355680"/>
    <x v="21"/>
    <x v="43"/>
  </r>
  <r>
    <n v="199"/>
    <n v="8"/>
    <n v="13"/>
    <x v="85"/>
    <n v="1"/>
    <n v="3"/>
    <n v="1"/>
    <n v="37600"/>
    <n v="90240"/>
    <n v="22560"/>
    <n v="150400"/>
    <x v="14"/>
    <x v="33"/>
  </r>
  <r>
    <n v="200"/>
    <n v="2"/>
    <n v="52"/>
    <x v="85"/>
    <n v="1"/>
    <n v="5"/>
    <n v="3"/>
    <n v="16200"/>
    <n v="64800"/>
    <n v="29160"/>
    <n v="110160"/>
    <x v="4"/>
    <x v="48"/>
  </r>
  <r>
    <n v="201"/>
    <n v="17"/>
    <n v="54"/>
    <x v="85"/>
    <n v="3"/>
    <n v="1"/>
    <n v="2"/>
    <n v="66420"/>
    <n v="17712"/>
    <n v="26568"/>
    <n v="110700"/>
    <x v="8"/>
    <x v="27"/>
  </r>
  <r>
    <n v="202"/>
    <n v="25"/>
    <n v="6"/>
    <x v="86"/>
    <n v="5"/>
    <n v="4"/>
    <n v="0"/>
    <n v="134000"/>
    <n v="85760"/>
    <n v="0"/>
    <n v="219760"/>
    <x v="5"/>
    <x v="29"/>
  </r>
  <r>
    <n v="203"/>
    <n v="8"/>
    <n v="36"/>
    <x v="87"/>
    <n v="0"/>
    <n v="5"/>
    <n v="1"/>
    <n v="0"/>
    <n v="81000"/>
    <n v="12150"/>
    <n v="93150"/>
    <x v="14"/>
    <x v="30"/>
  </r>
  <r>
    <n v="204"/>
    <n v="25"/>
    <n v="10"/>
    <x v="87"/>
    <n v="1"/>
    <n v="4"/>
    <n v="5"/>
    <n v="22400"/>
    <n v="71680"/>
    <n v="67200"/>
    <n v="161280"/>
    <x v="5"/>
    <x v="45"/>
  </r>
  <r>
    <n v="205"/>
    <n v="11"/>
    <n v="51"/>
    <x v="88"/>
    <n v="0"/>
    <n v="3"/>
    <n v="3"/>
    <n v="0"/>
    <n v="23760"/>
    <n v="17820"/>
    <n v="41580"/>
    <x v="24"/>
    <x v="31"/>
  </r>
  <r>
    <n v="206"/>
    <n v="17"/>
    <n v="26"/>
    <x v="88"/>
    <n v="4"/>
    <n v="3"/>
    <n v="3"/>
    <n v="91200"/>
    <n v="54720"/>
    <n v="41040"/>
    <n v="186960"/>
    <x v="8"/>
    <x v="54"/>
  </r>
  <r>
    <n v="207"/>
    <n v="1"/>
    <n v="21"/>
    <x v="89"/>
    <n v="0"/>
    <n v="0"/>
    <n v="2"/>
    <n v="0"/>
    <n v="0"/>
    <n v="24000"/>
    <n v="24000"/>
    <x v="6"/>
    <x v="34"/>
  </r>
  <r>
    <n v="208"/>
    <n v="23"/>
    <n v="25"/>
    <x v="89"/>
    <n v="0"/>
    <n v="0"/>
    <n v="2"/>
    <n v="0"/>
    <n v="0"/>
    <n v="32400"/>
    <n v="32400"/>
    <x v="18"/>
    <x v="12"/>
  </r>
  <r>
    <n v="209"/>
    <n v="22"/>
    <n v="5"/>
    <x v="90"/>
    <n v="0"/>
    <n v="3"/>
    <n v="3"/>
    <n v="0"/>
    <n v="56448"/>
    <n v="42336"/>
    <n v="98784"/>
    <x v="12"/>
    <x v="51"/>
  </r>
  <r>
    <n v="210"/>
    <n v="2"/>
    <n v="43"/>
    <x v="90"/>
    <n v="2"/>
    <n v="4"/>
    <n v="5"/>
    <n v="43200"/>
    <n v="69120"/>
    <n v="64800"/>
    <n v="177120"/>
    <x v="4"/>
    <x v="0"/>
  </r>
  <r>
    <n v="211"/>
    <n v="27"/>
    <n v="57"/>
    <x v="90"/>
    <n v="4"/>
    <n v="4"/>
    <n v="0"/>
    <n v="80320"/>
    <n v="64256"/>
    <n v="0"/>
    <n v="144576"/>
    <x v="21"/>
    <x v="15"/>
  </r>
  <r>
    <n v="212"/>
    <n v="4"/>
    <n v="28"/>
    <x v="91"/>
    <n v="1"/>
    <n v="1"/>
    <n v="4"/>
    <n v="11700"/>
    <n v="9360"/>
    <n v="28080"/>
    <n v="49140"/>
    <x v="23"/>
    <x v="50"/>
  </r>
  <r>
    <n v="213"/>
    <n v="6"/>
    <n v="52"/>
    <x v="92"/>
    <n v="3"/>
    <n v="3"/>
    <n v="3"/>
    <n v="48600"/>
    <n v="38880"/>
    <n v="29160"/>
    <n v="116640"/>
    <x v="0"/>
    <x v="48"/>
  </r>
  <r>
    <n v="214"/>
    <n v="16"/>
    <n v="6"/>
    <x v="92"/>
    <n v="1"/>
    <n v="4"/>
    <n v="2"/>
    <n v="26800"/>
    <n v="85760"/>
    <n v="32160"/>
    <n v="144720"/>
    <x v="16"/>
    <x v="29"/>
  </r>
  <r>
    <n v="215"/>
    <n v="6"/>
    <n v="22"/>
    <x v="93"/>
    <n v="2"/>
    <n v="1"/>
    <n v="1"/>
    <n v="25200"/>
    <n v="10080"/>
    <n v="7560"/>
    <n v="42840"/>
    <x v="0"/>
    <x v="16"/>
  </r>
  <r>
    <n v="216"/>
    <n v="3"/>
    <n v="29"/>
    <x v="94"/>
    <n v="1"/>
    <n v="4"/>
    <n v="5"/>
    <n v="11200"/>
    <n v="35840"/>
    <n v="33600"/>
    <n v="80640"/>
    <x v="10"/>
    <x v="40"/>
  </r>
  <r>
    <n v="217"/>
    <n v="12"/>
    <n v="41"/>
    <x v="95"/>
    <n v="0"/>
    <n v="3"/>
    <n v="5"/>
    <n v="0"/>
    <n v="80640"/>
    <n v="100800"/>
    <n v="181440"/>
    <x v="3"/>
    <x v="5"/>
  </r>
  <r>
    <n v="218"/>
    <n v="18"/>
    <n v="2"/>
    <x v="96"/>
    <n v="0"/>
    <n v="4"/>
    <n v="4"/>
    <n v="0"/>
    <n v="85568"/>
    <n v="64176"/>
    <n v="149744"/>
    <x v="25"/>
    <x v="55"/>
  </r>
  <r>
    <n v="219"/>
    <n v="7"/>
    <n v="55"/>
    <x v="96"/>
    <n v="2"/>
    <n v="4"/>
    <n v="4"/>
    <n v="29520"/>
    <n v="47232"/>
    <n v="35424"/>
    <n v="112176"/>
    <x v="9"/>
    <x v="47"/>
  </r>
  <r>
    <n v="220"/>
    <n v="7"/>
    <n v="16"/>
    <x v="96"/>
    <n v="0"/>
    <n v="0"/>
    <n v="2"/>
    <n v="0"/>
    <n v="0"/>
    <n v="37440"/>
    <n v="37440"/>
    <x v="9"/>
    <x v="23"/>
  </r>
  <r>
    <n v="221"/>
    <n v="8"/>
    <n v="28"/>
    <x v="97"/>
    <n v="2"/>
    <n v="3"/>
    <n v="0"/>
    <n v="23400"/>
    <n v="28080"/>
    <n v="0"/>
    <n v="51480"/>
    <x v="14"/>
    <x v="50"/>
  </r>
  <r>
    <n v="222"/>
    <n v="16"/>
    <n v="11"/>
    <x v="97"/>
    <n v="2"/>
    <n v="2"/>
    <n v="1"/>
    <n v="43200"/>
    <n v="34560"/>
    <n v="12960"/>
    <n v="90720"/>
    <x v="16"/>
    <x v="4"/>
  </r>
  <r>
    <n v="223"/>
    <n v="26"/>
    <n v="31"/>
    <x v="97"/>
    <n v="1"/>
    <n v="1"/>
    <n v="0"/>
    <n v="12600"/>
    <n v="10080"/>
    <n v="0"/>
    <n v="22680"/>
    <x v="26"/>
    <x v="49"/>
  </r>
  <r>
    <n v="224"/>
    <n v="24"/>
    <n v="50"/>
    <x v="98"/>
    <n v="4"/>
    <n v="3"/>
    <n v="3"/>
    <n v="136800"/>
    <n v="82080"/>
    <n v="61560"/>
    <n v="280440"/>
    <x v="19"/>
    <x v="43"/>
  </r>
  <r>
    <n v="225"/>
    <n v="27"/>
    <n v="2"/>
    <x v="98"/>
    <n v="1"/>
    <n v="3"/>
    <n v="2"/>
    <n v="26740"/>
    <n v="64176"/>
    <n v="32088"/>
    <n v="123004"/>
    <x v="21"/>
    <x v="55"/>
  </r>
  <r>
    <n v="226"/>
    <n v="4"/>
    <n v="24"/>
    <x v="98"/>
    <n v="5"/>
    <n v="1"/>
    <n v="0"/>
    <n v="112500"/>
    <n v="18000"/>
    <n v="0"/>
    <n v="130500"/>
    <x v="23"/>
    <x v="56"/>
  </r>
  <r>
    <n v="227"/>
    <n v="17"/>
    <n v="33"/>
    <x v="98"/>
    <n v="0"/>
    <n v="2"/>
    <n v="0"/>
    <n v="0"/>
    <n v="21760"/>
    <n v="0"/>
    <n v="21760"/>
    <x v="8"/>
    <x v="37"/>
  </r>
  <r>
    <n v="228"/>
    <n v="20"/>
    <n v="16"/>
    <x v="99"/>
    <n v="5"/>
    <n v="2"/>
    <n v="1"/>
    <n v="156000"/>
    <n v="49920"/>
    <n v="18720"/>
    <n v="224640"/>
    <x v="22"/>
    <x v="23"/>
  </r>
  <r>
    <n v="229"/>
    <n v="5"/>
    <n v="15"/>
    <x v="99"/>
    <n v="4"/>
    <n v="3"/>
    <n v="1"/>
    <n v="75600"/>
    <n v="45360"/>
    <n v="11340"/>
    <n v="132300"/>
    <x v="20"/>
    <x v="22"/>
  </r>
  <r>
    <n v="230"/>
    <n v="16"/>
    <n v="52"/>
    <x v="100"/>
    <n v="1"/>
    <n v="0"/>
    <n v="0"/>
    <n v="16200"/>
    <n v="0"/>
    <n v="0"/>
    <n v="16200"/>
    <x v="16"/>
    <x v="48"/>
  </r>
  <r>
    <n v="231"/>
    <n v="25"/>
    <n v="31"/>
    <x v="100"/>
    <n v="1"/>
    <n v="0"/>
    <n v="0"/>
    <n v="12600"/>
    <n v="0"/>
    <n v="0"/>
    <n v="12600"/>
    <x v="5"/>
    <x v="49"/>
  </r>
  <r>
    <n v="232"/>
    <n v="16"/>
    <n v="14"/>
    <x v="100"/>
    <n v="4"/>
    <n v="0"/>
    <n v="3"/>
    <n v="112000"/>
    <n v="0"/>
    <n v="50400"/>
    <n v="162400"/>
    <x v="16"/>
    <x v="42"/>
  </r>
  <r>
    <n v="233"/>
    <n v="9"/>
    <n v="25"/>
    <x v="101"/>
    <n v="1"/>
    <n v="2"/>
    <n v="3"/>
    <n v="27000"/>
    <n v="43200"/>
    <n v="48600"/>
    <n v="118800"/>
    <x v="7"/>
    <x v="12"/>
  </r>
  <r>
    <n v="234"/>
    <n v="22"/>
    <n v="26"/>
    <x v="101"/>
    <n v="0"/>
    <n v="2"/>
    <n v="5"/>
    <n v="0"/>
    <n v="36480"/>
    <n v="68400"/>
    <n v="104880"/>
    <x v="12"/>
    <x v="54"/>
  </r>
  <r>
    <n v="235"/>
    <n v="10"/>
    <n v="27"/>
    <x v="101"/>
    <n v="0"/>
    <n v="5"/>
    <n v="0"/>
    <n v="0"/>
    <n v="62400"/>
    <n v="0"/>
    <n v="62400"/>
    <x v="2"/>
    <x v="18"/>
  </r>
  <r>
    <n v="236"/>
    <n v="24"/>
    <n v="45"/>
    <x v="102"/>
    <n v="1"/>
    <n v="1"/>
    <n v="2"/>
    <n v="19800"/>
    <n v="15840"/>
    <n v="23760"/>
    <n v="59400"/>
    <x v="19"/>
    <x v="9"/>
  </r>
  <r>
    <n v="237"/>
    <n v="1"/>
    <n v="15"/>
    <x v="102"/>
    <n v="3"/>
    <n v="3"/>
    <n v="3"/>
    <n v="56700"/>
    <n v="45360"/>
    <n v="34020"/>
    <n v="136080"/>
    <x v="6"/>
    <x v="22"/>
  </r>
  <r>
    <n v="238"/>
    <n v="2"/>
    <n v="1"/>
    <x v="103"/>
    <n v="0"/>
    <n v="2"/>
    <n v="4"/>
    <n v="0"/>
    <n v="29952"/>
    <n v="44928"/>
    <n v="74880"/>
    <x v="4"/>
    <x v="36"/>
  </r>
  <r>
    <n v="239"/>
    <n v="22"/>
    <n v="30"/>
    <x v="104"/>
    <n v="5"/>
    <n v="4"/>
    <n v="2"/>
    <n v="84000"/>
    <n v="53760"/>
    <n v="20160"/>
    <n v="157920"/>
    <x v="12"/>
    <x v="8"/>
  </r>
  <r>
    <n v="240"/>
    <n v="12"/>
    <n v="42"/>
    <x v="105"/>
    <n v="0"/>
    <n v="0"/>
    <n v="1"/>
    <n v="0"/>
    <n v="0"/>
    <n v="4320"/>
    <n v="4320"/>
    <x v="3"/>
    <x v="20"/>
  </r>
  <r>
    <n v="241"/>
    <n v="26"/>
    <n v="2"/>
    <x v="105"/>
    <n v="5"/>
    <n v="4"/>
    <n v="3"/>
    <n v="133700"/>
    <n v="85568"/>
    <n v="48132"/>
    <n v="267400"/>
    <x v="26"/>
    <x v="55"/>
  </r>
  <r>
    <n v="242"/>
    <n v="25"/>
    <n v="55"/>
    <x v="106"/>
    <n v="2"/>
    <n v="2"/>
    <n v="4"/>
    <n v="29520"/>
    <n v="23616"/>
    <n v="35424"/>
    <n v="88560"/>
    <x v="5"/>
    <x v="47"/>
  </r>
  <r>
    <n v="243"/>
    <n v="8"/>
    <n v="49"/>
    <x v="106"/>
    <n v="4"/>
    <n v="5"/>
    <n v="0"/>
    <n v="124800"/>
    <n v="124800"/>
    <n v="0"/>
    <n v="249600"/>
    <x v="14"/>
    <x v="35"/>
  </r>
  <r>
    <n v="244"/>
    <n v="16"/>
    <n v="34"/>
    <x v="106"/>
    <n v="3"/>
    <n v="2"/>
    <n v="3"/>
    <n v="80400"/>
    <n v="42880"/>
    <n v="48240"/>
    <n v="171520"/>
    <x v="16"/>
    <x v="10"/>
  </r>
  <r>
    <n v="245"/>
    <n v="6"/>
    <n v="14"/>
    <x v="106"/>
    <n v="2"/>
    <n v="1"/>
    <n v="1"/>
    <n v="56000"/>
    <n v="22400"/>
    <n v="16800"/>
    <n v="95200"/>
    <x v="0"/>
    <x v="42"/>
  </r>
  <r>
    <n v="246"/>
    <n v="8"/>
    <n v="46"/>
    <x v="107"/>
    <n v="3"/>
    <n v="1"/>
    <n v="4"/>
    <n v="68400"/>
    <n v="18240"/>
    <n v="54720"/>
    <n v="141360"/>
    <x v="14"/>
    <x v="28"/>
  </r>
  <r>
    <n v="247"/>
    <n v="14"/>
    <n v="15"/>
    <x v="107"/>
    <n v="0"/>
    <n v="2"/>
    <n v="3"/>
    <n v="0"/>
    <n v="30240"/>
    <n v="34020"/>
    <n v="64260"/>
    <x v="13"/>
    <x v="22"/>
  </r>
  <r>
    <n v="248"/>
    <n v="13"/>
    <n v="1"/>
    <x v="107"/>
    <n v="0"/>
    <n v="2"/>
    <n v="1"/>
    <n v="0"/>
    <n v="29952"/>
    <n v="11232"/>
    <n v="41184"/>
    <x v="1"/>
    <x v="36"/>
  </r>
  <r>
    <n v="249"/>
    <n v="4"/>
    <n v="21"/>
    <x v="108"/>
    <n v="3"/>
    <n v="4"/>
    <n v="5"/>
    <n v="60000"/>
    <n v="64000"/>
    <n v="60000"/>
    <n v="184000"/>
    <x v="23"/>
    <x v="34"/>
  </r>
  <r>
    <n v="250"/>
    <n v="23"/>
    <n v="14"/>
    <x v="109"/>
    <n v="3"/>
    <n v="1"/>
    <n v="2"/>
    <n v="84000"/>
    <n v="22400"/>
    <n v="33600"/>
    <n v="140000"/>
    <x v="18"/>
    <x v="42"/>
  </r>
  <r>
    <n v="251"/>
    <n v="5"/>
    <n v="7"/>
    <x v="110"/>
    <n v="2"/>
    <n v="1"/>
    <n v="2"/>
    <n v="52160"/>
    <n v="20864"/>
    <n v="31296"/>
    <n v="104320"/>
    <x v="20"/>
    <x v="24"/>
  </r>
  <r>
    <n v="252"/>
    <n v="22"/>
    <n v="57"/>
    <x v="110"/>
    <n v="4"/>
    <n v="4"/>
    <n v="1"/>
    <n v="80320"/>
    <n v="64256"/>
    <n v="12048"/>
    <n v="156624"/>
    <x v="12"/>
    <x v="15"/>
  </r>
  <r>
    <n v="253"/>
    <n v="4"/>
    <n v="3"/>
    <x v="111"/>
    <n v="3"/>
    <n v="1"/>
    <n v="1"/>
    <n v="80160"/>
    <n v="21376"/>
    <n v="16032"/>
    <n v="117568"/>
    <x v="23"/>
    <x v="32"/>
  </r>
  <r>
    <n v="254"/>
    <n v="20"/>
    <n v="49"/>
    <x v="112"/>
    <n v="3"/>
    <n v="1"/>
    <n v="2"/>
    <n v="93600"/>
    <n v="24960"/>
    <n v="37440"/>
    <n v="156000"/>
    <x v="22"/>
    <x v="35"/>
  </r>
  <r>
    <n v="255"/>
    <n v="6"/>
    <n v="32"/>
    <x v="112"/>
    <n v="2"/>
    <n v="0"/>
    <n v="1"/>
    <n v="51000"/>
    <n v="0"/>
    <n v="15300"/>
    <n v="66300"/>
    <x v="0"/>
    <x v="1"/>
  </r>
  <r>
    <n v="256"/>
    <n v="17"/>
    <n v="34"/>
    <x v="113"/>
    <n v="2"/>
    <n v="3"/>
    <n v="3"/>
    <n v="53600"/>
    <n v="64320"/>
    <n v="48240"/>
    <n v="166160"/>
    <x v="8"/>
    <x v="10"/>
  </r>
  <r>
    <n v="257"/>
    <n v="21"/>
    <n v="5"/>
    <x v="113"/>
    <n v="0"/>
    <n v="2"/>
    <n v="1"/>
    <n v="0"/>
    <n v="37632"/>
    <n v="14112"/>
    <n v="51744"/>
    <x v="15"/>
    <x v="51"/>
  </r>
  <r>
    <n v="258"/>
    <n v="16"/>
    <n v="33"/>
    <x v="113"/>
    <n v="2"/>
    <n v="5"/>
    <n v="1"/>
    <n v="27200"/>
    <n v="54400"/>
    <n v="8160"/>
    <n v="89760"/>
    <x v="16"/>
    <x v="37"/>
  </r>
  <r>
    <n v="259"/>
    <n v="8"/>
    <n v="21"/>
    <x v="113"/>
    <n v="2"/>
    <n v="1"/>
    <n v="2"/>
    <n v="40000"/>
    <n v="16000"/>
    <n v="24000"/>
    <n v="80000"/>
    <x v="14"/>
    <x v="34"/>
  </r>
  <r>
    <n v="260"/>
    <n v="8"/>
    <n v="17"/>
    <x v="114"/>
    <n v="3"/>
    <n v="4"/>
    <n v="1"/>
    <n v="75600"/>
    <n v="80640"/>
    <n v="15120"/>
    <n v="171360"/>
    <x v="14"/>
    <x v="21"/>
  </r>
  <r>
    <n v="261"/>
    <n v="17"/>
    <n v="31"/>
    <x v="115"/>
    <n v="0"/>
    <n v="3"/>
    <n v="3"/>
    <n v="0"/>
    <n v="30240"/>
    <n v="22680"/>
    <n v="52920"/>
    <x v="8"/>
    <x v="49"/>
  </r>
  <r>
    <n v="262"/>
    <n v="19"/>
    <n v="11"/>
    <x v="115"/>
    <n v="1"/>
    <n v="2"/>
    <n v="2"/>
    <n v="21600"/>
    <n v="34560"/>
    <n v="25920"/>
    <n v="82080"/>
    <x v="17"/>
    <x v="4"/>
  </r>
  <r>
    <n v="263"/>
    <n v="11"/>
    <n v="10"/>
    <x v="115"/>
    <n v="0"/>
    <n v="1"/>
    <n v="4"/>
    <n v="0"/>
    <n v="17920"/>
    <n v="53760"/>
    <n v="71680"/>
    <x v="24"/>
    <x v="45"/>
  </r>
  <r>
    <n v="264"/>
    <n v="26"/>
    <n v="54"/>
    <x v="116"/>
    <n v="3"/>
    <n v="0"/>
    <n v="1"/>
    <n v="66420"/>
    <n v="0"/>
    <n v="13284"/>
    <n v="79704"/>
    <x v="26"/>
    <x v="27"/>
  </r>
  <r>
    <n v="265"/>
    <n v="27"/>
    <n v="17"/>
    <x v="117"/>
    <n v="5"/>
    <n v="5"/>
    <n v="5"/>
    <n v="126000"/>
    <n v="100800"/>
    <n v="75600"/>
    <n v="302400"/>
    <x v="21"/>
    <x v="21"/>
  </r>
  <r>
    <n v="266"/>
    <n v="20"/>
    <n v="35"/>
    <x v="118"/>
    <n v="1"/>
    <n v="1"/>
    <n v="3"/>
    <n v="27900"/>
    <n v="22320"/>
    <n v="50220"/>
    <n v="100440"/>
    <x v="22"/>
    <x v="3"/>
  </r>
  <r>
    <n v="267"/>
    <n v="14"/>
    <n v="52"/>
    <x v="118"/>
    <n v="0"/>
    <n v="0"/>
    <n v="1"/>
    <n v="0"/>
    <n v="0"/>
    <n v="9720"/>
    <n v="9720"/>
    <x v="13"/>
    <x v="48"/>
  </r>
  <r>
    <n v="268"/>
    <n v="19"/>
    <n v="50"/>
    <x v="119"/>
    <n v="2"/>
    <n v="5"/>
    <n v="0"/>
    <n v="68400"/>
    <n v="136800"/>
    <n v="0"/>
    <n v="205200"/>
    <x v="17"/>
    <x v="43"/>
  </r>
  <r>
    <n v="269"/>
    <n v="25"/>
    <n v="8"/>
    <x v="119"/>
    <n v="0"/>
    <n v="4"/>
    <n v="3"/>
    <n v="0"/>
    <n v="70144"/>
    <n v="39456"/>
    <n v="109600"/>
    <x v="5"/>
    <x v="19"/>
  </r>
  <r>
    <n v="270"/>
    <n v="7"/>
    <n v="4"/>
    <x v="120"/>
    <n v="3"/>
    <n v="0"/>
    <n v="2"/>
    <n v="94860"/>
    <n v="0"/>
    <n v="37944"/>
    <n v="132804"/>
    <x v="9"/>
    <x v="11"/>
  </r>
  <r>
    <n v="271"/>
    <n v="3"/>
    <n v="14"/>
    <x v="121"/>
    <n v="5"/>
    <n v="1"/>
    <n v="1"/>
    <n v="140000"/>
    <n v="22400"/>
    <n v="16800"/>
    <n v="179200"/>
    <x v="10"/>
    <x v="42"/>
  </r>
  <r>
    <n v="272"/>
    <n v="25"/>
    <n v="42"/>
    <x v="121"/>
    <n v="4"/>
    <n v="2"/>
    <n v="4"/>
    <n v="28800"/>
    <n v="11520"/>
    <n v="17280"/>
    <n v="57600"/>
    <x v="5"/>
    <x v="20"/>
  </r>
  <r>
    <n v="273"/>
    <n v="23"/>
    <n v="43"/>
    <x v="122"/>
    <n v="5"/>
    <n v="4"/>
    <n v="0"/>
    <n v="108000"/>
    <n v="69120"/>
    <n v="0"/>
    <n v="177120"/>
    <x v="18"/>
    <x v="0"/>
  </r>
  <r>
    <n v="274"/>
    <n v="1"/>
    <n v="38"/>
    <x v="123"/>
    <n v="3"/>
    <n v="2"/>
    <n v="5"/>
    <n v="21600"/>
    <n v="11520"/>
    <n v="21600"/>
    <n v="54720"/>
    <x v="6"/>
    <x v="44"/>
  </r>
  <r>
    <n v="275"/>
    <n v="13"/>
    <n v="15"/>
    <x v="123"/>
    <n v="1"/>
    <n v="5"/>
    <n v="3"/>
    <n v="18900"/>
    <n v="75600"/>
    <n v="34020"/>
    <n v="128520"/>
    <x v="1"/>
    <x v="22"/>
  </r>
  <r>
    <n v="276"/>
    <n v="8"/>
    <n v="3"/>
    <x v="123"/>
    <n v="3"/>
    <n v="4"/>
    <n v="5"/>
    <n v="80160"/>
    <n v="85504"/>
    <n v="80160"/>
    <n v="245824"/>
    <x v="14"/>
    <x v="32"/>
  </r>
  <r>
    <n v="277"/>
    <n v="22"/>
    <n v="48"/>
    <x v="123"/>
    <n v="2"/>
    <n v="0"/>
    <n v="5"/>
    <n v="36800"/>
    <n v="0"/>
    <n v="55200"/>
    <n v="92000"/>
    <x v="12"/>
    <x v="38"/>
  </r>
  <r>
    <n v="278"/>
    <n v="12"/>
    <n v="28"/>
    <x v="124"/>
    <n v="4"/>
    <n v="2"/>
    <n v="1"/>
    <n v="46800"/>
    <n v="18720"/>
    <n v="7020"/>
    <n v="72540"/>
    <x v="3"/>
    <x v="50"/>
  </r>
  <r>
    <n v="279"/>
    <n v="12"/>
    <n v="10"/>
    <x v="125"/>
    <n v="2"/>
    <n v="3"/>
    <n v="5"/>
    <n v="44800"/>
    <n v="53760"/>
    <n v="67200"/>
    <n v="165760"/>
    <x v="3"/>
    <x v="45"/>
  </r>
  <r>
    <n v="280"/>
    <n v="21"/>
    <n v="47"/>
    <x v="125"/>
    <n v="2"/>
    <n v="4"/>
    <n v="4"/>
    <n v="23400"/>
    <n v="37440"/>
    <n v="28080"/>
    <n v="88920"/>
    <x v="15"/>
    <x v="46"/>
  </r>
  <r>
    <n v="281"/>
    <n v="7"/>
    <n v="1"/>
    <x v="125"/>
    <n v="5"/>
    <n v="5"/>
    <n v="1"/>
    <n v="93600"/>
    <n v="74880"/>
    <n v="11232"/>
    <n v="179712"/>
    <x v="9"/>
    <x v="36"/>
  </r>
  <r>
    <n v="282"/>
    <n v="18"/>
    <n v="31"/>
    <x v="125"/>
    <n v="4"/>
    <n v="3"/>
    <n v="5"/>
    <n v="50400"/>
    <n v="30240"/>
    <n v="37800"/>
    <n v="118440"/>
    <x v="25"/>
    <x v="49"/>
  </r>
  <r>
    <n v="283"/>
    <n v="1"/>
    <n v="11"/>
    <x v="125"/>
    <n v="5"/>
    <n v="3"/>
    <n v="2"/>
    <n v="108000"/>
    <n v="51840"/>
    <n v="25920"/>
    <n v="185760"/>
    <x v="6"/>
    <x v="4"/>
  </r>
  <r>
    <n v="284"/>
    <n v="11"/>
    <n v="36"/>
    <x v="126"/>
    <n v="1"/>
    <n v="1"/>
    <n v="5"/>
    <n v="20250"/>
    <n v="16200"/>
    <n v="60750"/>
    <n v="97200"/>
    <x v="24"/>
    <x v="30"/>
  </r>
  <r>
    <n v="285"/>
    <n v="25"/>
    <n v="39"/>
    <x v="126"/>
    <n v="2"/>
    <n v="2"/>
    <n v="4"/>
    <n v="37800"/>
    <n v="30240"/>
    <n v="45360"/>
    <n v="113400"/>
    <x v="5"/>
    <x v="39"/>
  </r>
  <r>
    <n v="286"/>
    <n v="27"/>
    <n v="18"/>
    <x v="127"/>
    <n v="3"/>
    <n v="3"/>
    <n v="2"/>
    <n v="78300"/>
    <n v="62640"/>
    <n v="31320"/>
    <n v="172260"/>
    <x v="21"/>
    <x v="17"/>
  </r>
  <r>
    <n v="287"/>
    <n v="26"/>
    <n v="27"/>
    <x v="127"/>
    <n v="1"/>
    <n v="3"/>
    <n v="1"/>
    <n v="15600"/>
    <n v="37440"/>
    <n v="9360"/>
    <n v="62400"/>
    <x v="26"/>
    <x v="18"/>
  </r>
  <r>
    <n v="288"/>
    <n v="17"/>
    <n v="5"/>
    <x v="128"/>
    <n v="3"/>
    <n v="4"/>
    <n v="0"/>
    <n v="70560"/>
    <n v="75264"/>
    <n v="0"/>
    <n v="145824"/>
    <x v="8"/>
    <x v="51"/>
  </r>
  <r>
    <n v="289"/>
    <n v="10"/>
    <n v="23"/>
    <x v="129"/>
    <n v="1"/>
    <n v="1"/>
    <n v="1"/>
    <n v="6300"/>
    <n v="5040"/>
    <n v="3780"/>
    <n v="15120"/>
    <x v="2"/>
    <x v="7"/>
  </r>
  <r>
    <m/>
    <m/>
    <m/>
    <x v="130"/>
    <m/>
    <m/>
    <m/>
    <m/>
    <m/>
    <m/>
    <m/>
    <x v="27"/>
    <x v="5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3" cacheId="0" applyNumberFormats="0" applyBorderFormats="0" applyFontFormats="0" applyPatternFormats="0" applyAlignmentFormats="0" applyWidthHeightFormats="1" dataCaption="값" updatedVersion="6" minRefreshableVersion="5" useAutoFormatting="1" itemPrintTitles="1" createdVersion="6" indent="0" outline="1" outlineData="1" multipleFieldFilters="0" chartFormat="3">
  <location ref="A17:B23" firstHeaderRow="1" firstDataRow="1" firstDataCol="1"/>
  <pivotFields count="14">
    <pivotField showAll="0"/>
    <pivotField showAll="0"/>
    <pivotField showAll="0"/>
    <pivotField axis="axisRow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axis="axisRow" showAll="0" measureFilter="1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2">
    <field x="13"/>
    <field x="3"/>
  </rowFields>
  <rowItems count="6"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합계 : 금액" fld="10" baseField="13" baseItem="0"/>
  </dataFields>
  <chartFormats count="6">
    <chartFormat chart="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9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2" format="10">
      <pivotArea type="data" outline="0" fieldPosition="0">
        <references count="2">
          <reference field="4294967294" count="1" selected="0">
            <x v="0"/>
          </reference>
          <reference field="13" count="1" selected="0">
            <x v="2"/>
          </reference>
        </references>
      </pivotArea>
    </chartFormat>
    <chartFormat chart="2" format="11">
      <pivotArea type="data" outline="0" fieldPosition="0">
        <references count="2">
          <reference field="4294967294" count="1" selected="0">
            <x v="0"/>
          </reference>
          <reference field="13" count="1" selected="0">
            <x v="3"/>
          </reference>
        </references>
      </pivotArea>
    </chartFormat>
    <chartFormat chart="2" format="12">
      <pivotArea type="data" outline="0" fieldPosition="0">
        <references count="2">
          <reference field="4294967294" count="1" selected="0">
            <x v="0"/>
          </reference>
          <reference field="13" count="1" selected="0">
            <x v="4"/>
          </reference>
        </references>
      </pivotArea>
    </chartFormat>
    <chartFormat chart="2" format="13">
      <pivotArea type="data" outline="0" fieldPosition="0">
        <references count="2">
          <reference field="4294967294" count="1" selected="0">
            <x v="0"/>
          </reference>
          <reference field="13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3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피벗 테이블2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 chartFormat="3">
  <location ref="A9:B15" firstHeaderRow="1" firstDataRow="1" firstDataCol="1"/>
  <pivotFields count="14"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axis="axisRow" showAll="0" measureFilter="1">
      <items count="59">
        <item x="55"/>
        <item x="51"/>
        <item x="36"/>
        <item x="32"/>
        <item x="11"/>
        <item x="19"/>
        <item x="29"/>
        <item x="24"/>
        <item x="14"/>
        <item x="2"/>
        <item x="33"/>
        <item x="45"/>
        <item x="4"/>
        <item x="22"/>
        <item x="21"/>
        <item x="23"/>
        <item x="42"/>
        <item x="17"/>
        <item x="52"/>
        <item x="25"/>
        <item x="34"/>
        <item x="16"/>
        <item x="7"/>
        <item x="12"/>
        <item x="56"/>
        <item x="8"/>
        <item x="18"/>
        <item x="50"/>
        <item x="49"/>
        <item x="54"/>
        <item x="40"/>
        <item x="37"/>
        <item x="1"/>
        <item x="10"/>
        <item x="3"/>
        <item x="30"/>
        <item x="44"/>
        <item x="13"/>
        <item x="41"/>
        <item x="5"/>
        <item x="39"/>
        <item x="0"/>
        <item x="53"/>
        <item x="20"/>
        <item x="46"/>
        <item x="9"/>
        <item x="28"/>
        <item x="43"/>
        <item x="38"/>
        <item x="35"/>
        <item x="6"/>
        <item x="31"/>
        <item x="48"/>
        <item x="47"/>
        <item x="27"/>
        <item x="26"/>
        <item x="15"/>
        <item x="57"/>
        <item t="default"/>
      </items>
    </pivotField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2"/>
  </rowFields>
  <rowItems count="6">
    <i>
      <x v="10"/>
    </i>
    <i>
      <x v="20"/>
    </i>
    <i>
      <x v="33"/>
    </i>
    <i>
      <x v="47"/>
    </i>
    <i>
      <x v="55"/>
    </i>
    <i t="grand">
      <x/>
    </i>
  </rowItems>
  <colItems count="1">
    <i/>
  </colItems>
  <dataFields count="1">
    <dataField name="합계 : 금액" fld="10" baseField="0" baseItem="625477120"/>
  </dataFields>
  <chartFormats count="6">
    <chartFormat chart="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9">
      <pivotArea type="data" outline="0" fieldPosition="0">
        <references count="2">
          <reference field="4294967294" count="1" selected="0">
            <x v="0"/>
          </reference>
          <reference field="12" count="1" selected="0">
            <x v="10"/>
          </reference>
        </references>
      </pivotArea>
    </chartFormat>
    <chartFormat chart="2" format="10">
      <pivotArea type="data" outline="0" fieldPosition="0">
        <references count="2">
          <reference field="4294967294" count="1" selected="0">
            <x v="0"/>
          </reference>
          <reference field="12" count="1" selected="0">
            <x v="20"/>
          </reference>
        </references>
      </pivotArea>
    </chartFormat>
    <chartFormat chart="2" format="11">
      <pivotArea type="data" outline="0" fieldPosition="0">
        <references count="2">
          <reference field="4294967294" count="1" selected="0">
            <x v="0"/>
          </reference>
          <reference field="12" count="1" selected="0">
            <x v="33"/>
          </reference>
        </references>
      </pivotArea>
    </chartFormat>
    <chartFormat chart="2" format="12">
      <pivotArea type="data" outline="0" fieldPosition="0">
        <references count="2">
          <reference field="4294967294" count="1" selected="0">
            <x v="0"/>
          </reference>
          <reference field="12" count="1" selected="0">
            <x v="47"/>
          </reference>
        </references>
      </pivotArea>
    </chartFormat>
    <chartFormat chart="2" format="13">
      <pivotArea type="data" outline="0" fieldPosition="0">
        <references count="2">
          <reference field="4294967294" count="1" selected="0">
            <x v="0"/>
          </reference>
          <reference field="12" count="1" selected="0">
            <x v="55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2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피벗 테이블1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 chartFormat="3">
  <location ref="A1:B7" firstHeaderRow="1" firstDataRow="1" firstDataCol="1"/>
  <pivotFields count="14"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axis="axisRow" showAll="0" measureFilter="1">
      <items count="29">
        <item x="6"/>
        <item x="4"/>
        <item x="10"/>
        <item x="23"/>
        <item x="20"/>
        <item x="0"/>
        <item x="9"/>
        <item x="14"/>
        <item x="7"/>
        <item x="2"/>
        <item x="24"/>
        <item x="3"/>
        <item x="1"/>
        <item x="13"/>
        <item x="11"/>
        <item x="16"/>
        <item x="8"/>
        <item x="25"/>
        <item x="17"/>
        <item x="22"/>
        <item x="15"/>
        <item x="12"/>
        <item x="18"/>
        <item x="19"/>
        <item x="5"/>
        <item x="26"/>
        <item x="21"/>
        <item x="27"/>
        <item t="default"/>
      </items>
    </pivotField>
    <pivotField showAl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1"/>
  </rowFields>
  <rowItems count="6">
    <i>
      <x v="2"/>
    </i>
    <i>
      <x v="7"/>
    </i>
    <i>
      <x v="9"/>
    </i>
    <i>
      <x v="16"/>
    </i>
    <i>
      <x v="18"/>
    </i>
    <i t="grand">
      <x/>
    </i>
  </rowItems>
  <colItems count="1">
    <i/>
  </colItems>
  <dataFields count="1">
    <dataField name="합계 : 금액" fld="10" baseField="0" baseItem="569961136"/>
  </dataFields>
  <chartFormats count="6">
    <chartFormat chart="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9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2" format="10">
      <pivotArea type="data" outline="0" fieldPosition="0">
        <references count="2">
          <reference field="4294967294" count="1" selected="0">
            <x v="0"/>
          </reference>
          <reference field="11" count="1" selected="0">
            <x v="7"/>
          </reference>
        </references>
      </pivotArea>
    </chartFormat>
    <chartFormat chart="2" format="11">
      <pivotArea type="data" outline="0" fieldPosition="0">
        <references count="2">
          <reference field="4294967294" count="1" selected="0">
            <x v="0"/>
          </reference>
          <reference field="11" count="1" selected="0">
            <x v="9"/>
          </reference>
        </references>
      </pivotArea>
    </chartFormat>
    <chartFormat chart="2" format="12">
      <pivotArea type="data" outline="0" fieldPosition="0">
        <references count="2">
          <reference field="4294967294" count="1" selected="0">
            <x v="0"/>
          </reference>
          <reference field="11" count="1" selected="0">
            <x v="16"/>
          </reference>
        </references>
      </pivotArea>
    </chartFormat>
    <chartFormat chart="2" format="13">
      <pivotArea type="data" outline="0" fieldPosition="0">
        <references count="2">
          <reference field="4294967294" count="1" selected="0">
            <x v="0"/>
          </reference>
          <reference field="11" count="1" selected="0">
            <x v="18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1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name="NativeTimeline_예약날짜" sourceName="예약날짜">
  <pivotTables>
    <pivotTable tabId="11" name="피벗 테이블3"/>
  </pivotTables>
  <state minimalRefreshVersion="6" lastRefreshVersion="6" pivotCacheId="1" filterType="unknown">
    <bounds startDate="2022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예약날짜" cache="NativeTimeline_예약날짜" caption="예약날짜" level="2" selectionLevel="2" scrollPosition="2022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7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8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9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control" Target="../activeX/activeX9.xml"/><Relationship Id="rId7" Type="http://schemas.openxmlformats.org/officeDocument/2006/relationships/ctrlProp" Target="../ctrlProps/ctrlProp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11.emf"/><Relationship Id="rId5" Type="http://schemas.openxmlformats.org/officeDocument/2006/relationships/control" Target="../activeX/activeX10.xml"/><Relationship Id="rId4" Type="http://schemas.openxmlformats.org/officeDocument/2006/relationships/image" Target="../media/image10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7" Type="http://schemas.microsoft.com/office/2011/relationships/timeline" Target="../timelines/timeline1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image" Target="../media/image16.emf"/><Relationship Id="rId5" Type="http://schemas.openxmlformats.org/officeDocument/2006/relationships/control" Target="../activeX/activeX12.xml"/><Relationship Id="rId4" Type="http://schemas.openxmlformats.org/officeDocument/2006/relationships/image" Target="../media/image15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showGridLines="0" tabSelected="1" workbookViewId="0">
      <selection activeCell="J19" sqref="J19"/>
    </sheetView>
  </sheetViews>
  <sheetFormatPr defaultRowHeight="16.5" x14ac:dyDescent="0.3"/>
  <sheetData/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7" r:id="rId3" name="CommandButton3">
          <controlPr defaultSize="0" autoLine="0" r:id="rId4">
            <anchor moveWithCells="1">
              <from>
                <xdr:col>6</xdr:col>
                <xdr:colOff>123825</xdr:colOff>
                <xdr:row>1</xdr:row>
                <xdr:rowOff>180975</xdr:rowOff>
              </from>
              <to>
                <xdr:col>8</xdr:col>
                <xdr:colOff>381000</xdr:colOff>
                <xdr:row>4</xdr:row>
                <xdr:rowOff>38100</xdr:rowOff>
              </to>
            </anchor>
          </controlPr>
        </control>
      </mc:Choice>
      <mc:Fallback>
        <control shapeId="1027" r:id="rId3" name="CommandButton3"/>
      </mc:Fallback>
    </mc:AlternateContent>
    <mc:AlternateContent xmlns:mc="http://schemas.openxmlformats.org/markup-compatibility/2006">
      <mc:Choice Requires="x14">
        <control shapeId="1026" r:id="rId5" name="CommandButton2">
          <controlPr defaultSize="0" autoLine="0" r:id="rId6">
            <anchor moveWithCells="1">
              <from>
                <xdr:col>2</xdr:col>
                <xdr:colOff>19050</xdr:colOff>
                <xdr:row>14</xdr:row>
                <xdr:rowOff>152400</xdr:rowOff>
              </from>
              <to>
                <xdr:col>4</xdr:col>
                <xdr:colOff>276225</xdr:colOff>
                <xdr:row>17</xdr:row>
                <xdr:rowOff>9525</xdr:rowOff>
              </to>
            </anchor>
          </controlPr>
        </control>
      </mc:Choice>
      <mc:Fallback>
        <control shapeId="1026" r:id="rId5" name="CommandButton2"/>
      </mc:Fallback>
    </mc:AlternateContent>
    <mc:AlternateContent xmlns:mc="http://schemas.openxmlformats.org/markup-compatibility/2006">
      <mc:Choice Requires="x14">
        <control shapeId="1025" r:id="rId7" name="CommandButton1">
          <controlPr defaultSize="0" autoLine="0" r:id="rId8">
            <anchor moveWithCells="1">
              <from>
                <xdr:col>2</xdr:col>
                <xdr:colOff>28575</xdr:colOff>
                <xdr:row>11</xdr:row>
                <xdr:rowOff>142875</xdr:rowOff>
              </from>
              <to>
                <xdr:col>4</xdr:col>
                <xdr:colOff>285750</xdr:colOff>
                <xdr:row>14</xdr:row>
                <xdr:rowOff>0</xdr:rowOff>
              </to>
            </anchor>
          </controlPr>
        </control>
      </mc:Choice>
      <mc:Fallback>
        <control shapeId="1025" r:id="rId7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28"/>
  <sheetViews>
    <sheetView showGridLines="0" workbookViewId="0">
      <selection activeCell="C35" sqref="C35"/>
    </sheetView>
  </sheetViews>
  <sheetFormatPr defaultRowHeight="16.5" x14ac:dyDescent="0.3"/>
  <cols>
    <col min="1" max="4" width="9" style="1"/>
    <col min="5" max="5" width="18.875" style="1" bestFit="1" customWidth="1"/>
    <col min="6" max="6" width="14.75" style="4" customWidth="1"/>
    <col min="7" max="7" width="14.75" style="1" customWidth="1"/>
    <col min="8" max="16384" width="9" style="1"/>
  </cols>
  <sheetData>
    <row r="1" spans="1:13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9" t="s">
        <v>623</v>
      </c>
      <c r="M1" s="1" t="b">
        <f ca="1">이메일검사(CELL("contents"))</f>
        <v>0</v>
      </c>
    </row>
    <row r="2" spans="1:13" x14ac:dyDescent="0.3">
      <c r="A2" s="1">
        <v>1</v>
      </c>
      <c r="B2" s="1" t="s">
        <v>5</v>
      </c>
      <c r="C2" s="1" t="s">
        <v>6</v>
      </c>
      <c r="D2" s="1" t="s">
        <v>7</v>
      </c>
      <c r="E2" s="1" t="s">
        <v>8</v>
      </c>
      <c r="F2" s="4">
        <f ca="1">SUMIF(예약내역!B:B,회원!A2,예약내역!K:K)</f>
        <v>1377502</v>
      </c>
    </row>
    <row r="3" spans="1:13" x14ac:dyDescent="0.3">
      <c r="A3" s="1">
        <v>2</v>
      </c>
      <c r="B3" s="1" t="s">
        <v>9</v>
      </c>
      <c r="C3" s="1" t="s">
        <v>10</v>
      </c>
      <c r="D3" s="1" t="s">
        <v>11</v>
      </c>
      <c r="E3" s="1" t="s">
        <v>12</v>
      </c>
      <c r="F3" s="4">
        <f ca="1">SUMIF(예약내역!B:B,회원!A3,예약내역!K:K)</f>
        <v>1624416</v>
      </c>
    </row>
    <row r="4" spans="1:13" x14ac:dyDescent="0.3">
      <c r="A4" s="1">
        <v>3</v>
      </c>
      <c r="B4" s="1" t="s">
        <v>13</v>
      </c>
      <c r="C4" s="1" t="s">
        <v>14</v>
      </c>
      <c r="D4" s="1" t="s">
        <v>15</v>
      </c>
      <c r="E4" s="1" t="s">
        <v>16</v>
      </c>
      <c r="F4" s="4">
        <f ca="1">SUMIF(예약내역!B:B,회원!A4,예약내역!K:K)</f>
        <v>1826050</v>
      </c>
    </row>
    <row r="5" spans="1:13" x14ac:dyDescent="0.3">
      <c r="A5" s="1">
        <v>4</v>
      </c>
      <c r="B5" s="1" t="s">
        <v>17</v>
      </c>
      <c r="C5" s="1" t="s">
        <v>18</v>
      </c>
      <c r="D5" s="1" t="s">
        <v>19</v>
      </c>
      <c r="E5" s="1" t="s">
        <v>20</v>
      </c>
      <c r="F5" s="4">
        <f ca="1">SUMIF(예약내역!B:B,회원!A5,예약내역!K:K)</f>
        <v>1168272</v>
      </c>
    </row>
    <row r="6" spans="1:13" x14ac:dyDescent="0.3">
      <c r="A6" s="1">
        <v>5</v>
      </c>
      <c r="B6" s="1" t="s">
        <v>21</v>
      </c>
      <c r="C6" s="1" t="s">
        <v>22</v>
      </c>
      <c r="D6" s="1" t="s">
        <v>23</v>
      </c>
      <c r="E6" s="1" t="s">
        <v>24</v>
      </c>
      <c r="F6" s="4">
        <f ca="1">SUMIF(예약내역!B:B,회원!A6,예약내역!K:K)</f>
        <v>1005460</v>
      </c>
    </row>
    <row r="7" spans="1:13" x14ac:dyDescent="0.3">
      <c r="A7" s="1">
        <v>6</v>
      </c>
      <c r="B7" s="1" t="s">
        <v>25</v>
      </c>
      <c r="C7" s="1" t="s">
        <v>26</v>
      </c>
      <c r="D7" s="1" t="s">
        <v>27</v>
      </c>
      <c r="E7" s="1" t="s">
        <v>28</v>
      </c>
      <c r="F7" s="4">
        <f ca="1">SUMIF(예약내역!B:B,회원!A7,예약내역!K:K)</f>
        <v>1723744</v>
      </c>
    </row>
    <row r="8" spans="1:13" x14ac:dyDescent="0.3">
      <c r="A8" s="1">
        <v>7</v>
      </c>
      <c r="B8" s="1" t="s">
        <v>29</v>
      </c>
      <c r="C8" s="1" t="s">
        <v>30</v>
      </c>
      <c r="D8" s="1" t="s">
        <v>31</v>
      </c>
      <c r="E8" s="1" t="s">
        <v>32</v>
      </c>
      <c r="F8" s="4">
        <f ca="1">SUMIF(예약내역!B:B,회원!A8,예약내역!K:K)</f>
        <v>1245276</v>
      </c>
    </row>
    <row r="9" spans="1:13" x14ac:dyDescent="0.3">
      <c r="A9" s="1">
        <v>8</v>
      </c>
      <c r="B9" s="1" t="s">
        <v>33</v>
      </c>
      <c r="C9" s="1" t="s">
        <v>34</v>
      </c>
      <c r="D9" s="1" t="s">
        <v>35</v>
      </c>
      <c r="E9" s="1" t="s">
        <v>36</v>
      </c>
      <c r="F9" s="4">
        <f ca="1">SUMIF(예약내역!B:B,회원!A9,예약내역!K:K)</f>
        <v>1945614</v>
      </c>
    </row>
    <row r="10" spans="1:13" x14ac:dyDescent="0.3">
      <c r="A10" s="1">
        <v>9</v>
      </c>
      <c r="B10" s="1" t="s">
        <v>37</v>
      </c>
      <c r="C10" s="1" t="s">
        <v>38</v>
      </c>
      <c r="D10" s="1" t="s">
        <v>39</v>
      </c>
      <c r="E10" s="1" t="s">
        <v>40</v>
      </c>
      <c r="F10" s="4">
        <f ca="1">SUMIF(예약내역!B:B,회원!A10,예약내역!K:K)</f>
        <v>831580</v>
      </c>
    </row>
    <row r="11" spans="1:13" x14ac:dyDescent="0.3">
      <c r="A11" s="1">
        <v>10</v>
      </c>
      <c r="B11" s="1" t="s">
        <v>41</v>
      </c>
      <c r="C11" s="1" t="s">
        <v>42</v>
      </c>
      <c r="D11" s="1" t="s">
        <v>43</v>
      </c>
      <c r="E11" s="1" t="s">
        <v>44</v>
      </c>
      <c r="F11" s="4">
        <f ca="1">SUMIF(예약내역!B:B,회원!A11,예약내역!K:K)</f>
        <v>1767624</v>
      </c>
    </row>
    <row r="12" spans="1:13" x14ac:dyDescent="0.3">
      <c r="A12" s="1">
        <v>11</v>
      </c>
      <c r="B12" s="1" t="s">
        <v>45</v>
      </c>
      <c r="C12" s="1" t="s">
        <v>46</v>
      </c>
      <c r="D12" s="1" t="s">
        <v>47</v>
      </c>
      <c r="E12" s="1" t="s">
        <v>48</v>
      </c>
      <c r="F12" s="4">
        <f ca="1">SUMIF(예약내역!B:B,회원!A12,예약내역!K:K)</f>
        <v>924432</v>
      </c>
    </row>
    <row r="13" spans="1:13" x14ac:dyDescent="0.3">
      <c r="A13" s="1">
        <v>12</v>
      </c>
      <c r="B13" s="1" t="s">
        <v>49</v>
      </c>
      <c r="C13" s="1" t="s">
        <v>50</v>
      </c>
      <c r="D13" s="1" t="s">
        <v>51</v>
      </c>
      <c r="E13" s="1" t="s">
        <v>52</v>
      </c>
      <c r="F13" s="4">
        <f ca="1">SUMIF(예약내역!B:B,회원!A13,예약내역!K:K)</f>
        <v>1528228</v>
      </c>
    </row>
    <row r="14" spans="1:13" x14ac:dyDescent="0.3">
      <c r="A14" s="1">
        <v>13</v>
      </c>
      <c r="B14" s="1" t="s">
        <v>53</v>
      </c>
      <c r="C14" s="1" t="s">
        <v>54</v>
      </c>
      <c r="D14" s="1" t="s">
        <v>55</v>
      </c>
      <c r="E14" s="1" t="s">
        <v>56</v>
      </c>
      <c r="F14" s="4">
        <f ca="1">SUMIF(예약내역!B:B,회원!A14,예약내역!K:K)</f>
        <v>1486192</v>
      </c>
    </row>
    <row r="15" spans="1:13" x14ac:dyDescent="0.3">
      <c r="A15" s="1">
        <v>14</v>
      </c>
      <c r="B15" s="1" t="s">
        <v>57</v>
      </c>
      <c r="C15" s="1" t="s">
        <v>58</v>
      </c>
      <c r="D15" s="1" t="s">
        <v>59</v>
      </c>
      <c r="E15" s="1" t="s">
        <v>60</v>
      </c>
      <c r="F15" s="4">
        <f ca="1">SUMIF(예약내역!B:B,회원!A15,예약내역!K:K)</f>
        <v>1254532</v>
      </c>
    </row>
    <row r="16" spans="1:13" x14ac:dyDescent="0.3">
      <c r="A16" s="1">
        <v>15</v>
      </c>
      <c r="B16" s="1" t="s">
        <v>61</v>
      </c>
      <c r="C16" s="1" t="s">
        <v>62</v>
      </c>
      <c r="D16" s="1" t="s">
        <v>63</v>
      </c>
      <c r="E16" s="1" t="s">
        <v>64</v>
      </c>
      <c r="F16" s="4">
        <f ca="1">SUMIF(예약내역!B:B,회원!A16,예약내역!K:K)</f>
        <v>802916</v>
      </c>
    </row>
    <row r="17" spans="1:6" x14ac:dyDescent="0.3">
      <c r="A17" s="1">
        <v>16</v>
      </c>
      <c r="B17" s="1" t="s">
        <v>65</v>
      </c>
      <c r="C17" s="1" t="s">
        <v>66</v>
      </c>
      <c r="D17" s="1" t="s">
        <v>67</v>
      </c>
      <c r="E17" s="1" t="s">
        <v>68</v>
      </c>
      <c r="F17" s="4">
        <f ca="1">SUMIF(예약내역!B:B,회원!A17,예약내역!K:K)</f>
        <v>1649818</v>
      </c>
    </row>
    <row r="18" spans="1:6" x14ac:dyDescent="0.3">
      <c r="A18" s="1">
        <v>17</v>
      </c>
      <c r="B18" s="1" t="s">
        <v>69</v>
      </c>
      <c r="C18" s="1" t="s">
        <v>70</v>
      </c>
      <c r="D18" s="1" t="s">
        <v>71</v>
      </c>
      <c r="E18" s="1" t="s">
        <v>72</v>
      </c>
      <c r="F18" s="4">
        <f ca="1">SUMIF(예약내역!B:B,회원!A18,예약내역!K:K)</f>
        <v>1804696</v>
      </c>
    </row>
    <row r="19" spans="1:6" x14ac:dyDescent="0.3">
      <c r="A19" s="1">
        <v>18</v>
      </c>
      <c r="B19" s="1" t="s">
        <v>73</v>
      </c>
      <c r="C19" s="1" t="s">
        <v>74</v>
      </c>
      <c r="D19" s="1" t="s">
        <v>75</v>
      </c>
      <c r="E19" s="1" t="s">
        <v>76</v>
      </c>
      <c r="F19" s="4">
        <f ca="1">SUMIF(예약내역!B:B,회원!A19,예약내역!K:K)</f>
        <v>899652</v>
      </c>
    </row>
    <row r="20" spans="1:6" x14ac:dyDescent="0.3">
      <c r="A20" s="1">
        <v>19</v>
      </c>
      <c r="B20" s="1" t="s">
        <v>77</v>
      </c>
      <c r="C20" s="1" t="s">
        <v>78</v>
      </c>
      <c r="D20" s="1" t="s">
        <v>79</v>
      </c>
      <c r="E20" s="1" t="s">
        <v>80</v>
      </c>
      <c r="F20" s="4">
        <f ca="1">SUMIF(예약내역!B:B,회원!A20,예약내역!K:K)</f>
        <v>1759210</v>
      </c>
    </row>
    <row r="21" spans="1:6" x14ac:dyDescent="0.3">
      <c r="A21" s="1">
        <v>20</v>
      </c>
      <c r="B21" s="1" t="s">
        <v>81</v>
      </c>
      <c r="C21" s="1" t="s">
        <v>82</v>
      </c>
      <c r="D21" s="1" t="s">
        <v>83</v>
      </c>
      <c r="E21" s="1" t="s">
        <v>84</v>
      </c>
      <c r="F21" s="4">
        <f ca="1">SUMIF(예약내역!B:B,회원!A21,예약내역!K:K)</f>
        <v>947540</v>
      </c>
    </row>
    <row r="22" spans="1:6" x14ac:dyDescent="0.3">
      <c r="A22" s="1">
        <v>21</v>
      </c>
      <c r="B22" s="1" t="s">
        <v>85</v>
      </c>
      <c r="C22" s="1" t="s">
        <v>86</v>
      </c>
      <c r="D22" s="1" t="s">
        <v>87</v>
      </c>
      <c r="E22" s="1" t="s">
        <v>88</v>
      </c>
      <c r="F22" s="4">
        <f ca="1">SUMIF(예약내역!B:B,회원!A22,예약내역!K:K)</f>
        <v>802140</v>
      </c>
    </row>
    <row r="23" spans="1:6" x14ac:dyDescent="0.3">
      <c r="A23" s="1">
        <v>22</v>
      </c>
      <c r="B23" s="1" t="s">
        <v>89</v>
      </c>
      <c r="C23" s="1" t="s">
        <v>90</v>
      </c>
      <c r="D23" s="1" t="s">
        <v>91</v>
      </c>
      <c r="E23" s="1" t="s">
        <v>92</v>
      </c>
      <c r="F23" s="4">
        <f ca="1">SUMIF(예약내역!B:B,회원!A23,예약내역!K:K)</f>
        <v>1565888</v>
      </c>
    </row>
    <row r="24" spans="1:6" x14ac:dyDescent="0.3">
      <c r="A24" s="1">
        <v>23</v>
      </c>
      <c r="B24" s="1" t="s">
        <v>93</v>
      </c>
      <c r="C24" s="1" t="s">
        <v>94</v>
      </c>
      <c r="D24" s="1" t="s">
        <v>95</v>
      </c>
      <c r="E24" s="1" t="s">
        <v>96</v>
      </c>
      <c r="F24" s="4">
        <f ca="1">SUMIF(예약내역!B:B,회원!A24,예약내역!K:K)</f>
        <v>971480</v>
      </c>
    </row>
    <row r="25" spans="1:6" x14ac:dyDescent="0.3">
      <c r="A25" s="1">
        <v>24</v>
      </c>
      <c r="B25" s="1" t="s">
        <v>97</v>
      </c>
      <c r="C25" s="1" t="s">
        <v>98</v>
      </c>
      <c r="D25" s="1" t="s">
        <v>99</v>
      </c>
      <c r="E25" s="1" t="s">
        <v>100</v>
      </c>
      <c r="F25" s="4">
        <f ca="1">SUMIF(예약내역!B:B,회원!A25,예약내역!K:K)</f>
        <v>1179234</v>
      </c>
    </row>
    <row r="26" spans="1:6" x14ac:dyDescent="0.3">
      <c r="A26" s="1">
        <v>25</v>
      </c>
      <c r="B26" s="1" t="s">
        <v>101</v>
      </c>
      <c r="C26" s="1" t="s">
        <v>102</v>
      </c>
      <c r="D26" s="1" t="s">
        <v>103</v>
      </c>
      <c r="E26" s="1" t="s">
        <v>40</v>
      </c>
      <c r="F26" s="4">
        <f ca="1">SUMIF(예약내역!B:B,회원!A26,예약내역!K:K)</f>
        <v>1456814</v>
      </c>
    </row>
    <row r="27" spans="1:6" x14ac:dyDescent="0.3">
      <c r="A27" s="1">
        <v>26</v>
      </c>
      <c r="B27" s="1" t="s">
        <v>104</v>
      </c>
      <c r="C27" s="1" t="s">
        <v>105</v>
      </c>
      <c r="D27" s="1" t="s">
        <v>106</v>
      </c>
      <c r="E27" s="1" t="s">
        <v>107</v>
      </c>
      <c r="F27" s="4">
        <f ca="1">SUMIF(예약내역!B:B,회원!A27,예약내역!K:K)</f>
        <v>749380</v>
      </c>
    </row>
    <row r="28" spans="1:6" x14ac:dyDescent="0.3">
      <c r="A28" s="1">
        <v>27</v>
      </c>
      <c r="B28" s="1" t="s">
        <v>108</v>
      </c>
      <c r="C28" s="1" t="s">
        <v>109</v>
      </c>
      <c r="D28" s="1" t="s">
        <v>110</v>
      </c>
      <c r="E28" s="1" t="s">
        <v>111</v>
      </c>
      <c r="F28" s="4">
        <f ca="1">SUMIF(예약내역!B:B,회원!A28,예약내역!K:K)</f>
        <v>1407470</v>
      </c>
    </row>
  </sheetData>
  <phoneticPr fontId="1" type="noConversion"/>
  <conditionalFormatting sqref="A1:F1048576">
    <cfRule type="expression" dxfId="4" priority="2">
      <formula>$A1&lt;&gt;""</formula>
    </cfRule>
  </conditionalFormatting>
  <dataValidations count="1">
    <dataValidation type="custom" allowBlank="1" showInputMessage="1" showErrorMessage="1" errorTitle="이메일 오류" error="이메일 형식이 올바르지 않습니다." sqref="E2:E1048576">
      <formula1>$M$1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6</xdr:col>
                <xdr:colOff>114300</xdr:colOff>
                <xdr:row>0</xdr:row>
                <xdr:rowOff>104775</xdr:rowOff>
              </from>
              <to>
                <xdr:col>7</xdr:col>
                <xdr:colOff>619125</xdr:colOff>
                <xdr:row>2</xdr:row>
                <xdr:rowOff>171450</xdr:rowOff>
              </to>
            </anchor>
          </controlPr>
        </control>
      </mc:Choice>
      <mc:Fallback>
        <control shapeId="2049" r:id="rId4" name="CommandButton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373C06D-7646-4539-85E1-13305F091C2D}">
            <x14:iconSet iconSet="3Arrows" custom="1">
              <x14:cfvo type="percent">
                <xm:f>0</xm:f>
              </x14:cfvo>
              <x14:cfvo type="percentile">
                <xm:f>10</xm:f>
              </x14:cfvo>
              <x14:cfvo type="percentile">
                <xm:f>90</xm:f>
              </x14:cfvo>
              <x14:cfIcon iconSet="3Arrows" iconId="0"/>
              <x14:cfIcon iconSet="NoIcons" iconId="0"/>
              <x14:cfIcon iconSet="3Arrows" iconId="2"/>
            </x14:iconSet>
          </x14:cfRule>
          <xm:sqref>F2:F1048576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91"/>
  <sheetViews>
    <sheetView showGridLines="0" workbookViewId="0">
      <selection activeCell="G9" sqref="G9"/>
    </sheetView>
  </sheetViews>
  <sheetFormatPr defaultRowHeight="16.5" x14ac:dyDescent="0.3"/>
  <cols>
    <col min="1" max="2" width="9" style="1"/>
    <col min="3" max="3" width="21.375" style="1" bestFit="1" customWidth="1"/>
    <col min="4" max="4" width="9" style="4"/>
    <col min="5" max="5" width="51.125" style="1" bestFit="1" customWidth="1"/>
    <col min="6" max="16384" width="9" style="1"/>
  </cols>
  <sheetData>
    <row r="1" spans="1:5" x14ac:dyDescent="0.3">
      <c r="A1" s="8" t="s">
        <v>0</v>
      </c>
      <c r="B1" s="8" t="s">
        <v>112</v>
      </c>
      <c r="C1" s="8" t="s">
        <v>113</v>
      </c>
      <c r="D1" s="9" t="s">
        <v>114</v>
      </c>
      <c r="E1" s="8" t="s">
        <v>115</v>
      </c>
    </row>
    <row r="2" spans="1:5" x14ac:dyDescent="0.3">
      <c r="A2" s="1">
        <v>1</v>
      </c>
      <c r="B2" s="1" t="s">
        <v>116</v>
      </c>
      <c r="C2" s="1" t="s">
        <v>117</v>
      </c>
      <c r="D2" s="4">
        <v>4800</v>
      </c>
      <c r="E2" s="1" t="s">
        <v>118</v>
      </c>
    </row>
    <row r="3" spans="1:5" x14ac:dyDescent="0.3">
      <c r="A3" s="1">
        <v>2</v>
      </c>
      <c r="B3" s="1" t="s">
        <v>116</v>
      </c>
      <c r="C3" s="1" t="s">
        <v>119</v>
      </c>
      <c r="D3" s="4">
        <v>8800</v>
      </c>
      <c r="E3" s="1" t="s">
        <v>120</v>
      </c>
    </row>
    <row r="4" spans="1:5" x14ac:dyDescent="0.3">
      <c r="A4" s="1">
        <v>3</v>
      </c>
      <c r="B4" s="1" t="s">
        <v>116</v>
      </c>
      <c r="C4" s="1" t="s">
        <v>121</v>
      </c>
      <c r="D4" s="4">
        <v>12000</v>
      </c>
      <c r="E4" s="1" t="s">
        <v>122</v>
      </c>
    </row>
    <row r="5" spans="1:5" x14ac:dyDescent="0.3">
      <c r="A5" s="1">
        <v>4</v>
      </c>
      <c r="B5" s="1" t="s">
        <v>116</v>
      </c>
      <c r="C5" s="1" t="s">
        <v>123</v>
      </c>
      <c r="D5" s="4">
        <v>12600</v>
      </c>
      <c r="E5" s="1" t="s">
        <v>124</v>
      </c>
    </row>
    <row r="6" spans="1:5" x14ac:dyDescent="0.3">
      <c r="A6" s="1">
        <v>5</v>
      </c>
      <c r="B6" s="1" t="s">
        <v>116</v>
      </c>
      <c r="C6" s="1" t="s">
        <v>125</v>
      </c>
      <c r="D6" s="4">
        <v>14500</v>
      </c>
      <c r="E6" s="1" t="s">
        <v>126</v>
      </c>
    </row>
    <row r="7" spans="1:5" x14ac:dyDescent="0.3">
      <c r="A7" s="1">
        <v>6</v>
      </c>
      <c r="B7" s="1" t="s">
        <v>127</v>
      </c>
      <c r="C7" s="1" t="s">
        <v>128</v>
      </c>
      <c r="D7" s="4">
        <v>4500</v>
      </c>
      <c r="E7" s="1" t="s">
        <v>129</v>
      </c>
    </row>
    <row r="8" spans="1:5" x14ac:dyDescent="0.3">
      <c r="A8" s="1">
        <v>7</v>
      </c>
      <c r="B8" s="1" t="s">
        <v>127</v>
      </c>
      <c r="C8" s="1" t="s">
        <v>130</v>
      </c>
      <c r="D8" s="4">
        <v>7900</v>
      </c>
      <c r="E8" s="1" t="s">
        <v>131</v>
      </c>
    </row>
    <row r="9" spans="1:5" x14ac:dyDescent="0.3">
      <c r="A9" s="1">
        <v>8</v>
      </c>
      <c r="B9" s="1" t="s">
        <v>127</v>
      </c>
      <c r="C9" s="1" t="s">
        <v>132</v>
      </c>
      <c r="D9" s="4">
        <v>15000</v>
      </c>
      <c r="E9" s="1" t="s">
        <v>133</v>
      </c>
    </row>
    <row r="10" spans="1:5" x14ac:dyDescent="0.3">
      <c r="A10" s="1">
        <v>9</v>
      </c>
      <c r="B10" s="1" t="s">
        <v>127</v>
      </c>
      <c r="C10" s="1" t="s">
        <v>134</v>
      </c>
      <c r="D10" s="4">
        <v>14000</v>
      </c>
      <c r="E10" s="1" t="s">
        <v>135</v>
      </c>
    </row>
    <row r="11" spans="1:5" x14ac:dyDescent="0.3">
      <c r="A11" s="1">
        <v>10</v>
      </c>
      <c r="B11" s="1" t="s">
        <v>127</v>
      </c>
      <c r="C11" s="1" t="s">
        <v>136</v>
      </c>
      <c r="D11" s="4">
        <v>9700</v>
      </c>
      <c r="E11" s="1" t="s">
        <v>137</v>
      </c>
    </row>
    <row r="12" spans="1:5" x14ac:dyDescent="0.3">
      <c r="A12" s="1">
        <v>11</v>
      </c>
      <c r="B12" s="1" t="s">
        <v>138</v>
      </c>
      <c r="C12" s="1" t="s">
        <v>139</v>
      </c>
      <c r="D12" s="4">
        <v>5000</v>
      </c>
      <c r="E12" s="1" t="s">
        <v>140</v>
      </c>
    </row>
    <row r="13" spans="1:5" x14ac:dyDescent="0.3">
      <c r="A13" s="1">
        <v>12</v>
      </c>
      <c r="B13" s="1" t="s">
        <v>138</v>
      </c>
      <c r="C13" s="1" t="s">
        <v>141</v>
      </c>
      <c r="D13" s="4">
        <v>19000</v>
      </c>
      <c r="E13" s="1" t="s">
        <v>142</v>
      </c>
    </row>
    <row r="14" spans="1:5" x14ac:dyDescent="0.3">
      <c r="A14" s="1">
        <v>13</v>
      </c>
      <c r="B14" s="1" t="s">
        <v>138</v>
      </c>
      <c r="C14" s="1" t="s">
        <v>143</v>
      </c>
      <c r="D14" s="4">
        <v>13000</v>
      </c>
      <c r="E14" s="1" t="s">
        <v>144</v>
      </c>
    </row>
    <row r="15" spans="1:5" x14ac:dyDescent="0.3">
      <c r="A15" s="1">
        <v>14</v>
      </c>
      <c r="B15" s="1" t="s">
        <v>138</v>
      </c>
      <c r="C15" s="1" t="s">
        <v>145</v>
      </c>
      <c r="D15" s="4">
        <v>10000</v>
      </c>
      <c r="E15" s="1" t="s">
        <v>146</v>
      </c>
    </row>
    <row r="16" spans="1:5" x14ac:dyDescent="0.3">
      <c r="A16" s="1">
        <v>15</v>
      </c>
      <c r="B16" s="1" t="s">
        <v>138</v>
      </c>
      <c r="C16" s="1" t="s">
        <v>147</v>
      </c>
      <c r="D16" s="4">
        <v>7000</v>
      </c>
      <c r="E16" s="1" t="s">
        <v>148</v>
      </c>
    </row>
    <row r="17" spans="1:5" x14ac:dyDescent="0.3">
      <c r="A17" s="1">
        <v>16</v>
      </c>
      <c r="B17" s="1" t="s">
        <v>138</v>
      </c>
      <c r="C17" s="1" t="s">
        <v>149</v>
      </c>
      <c r="D17" s="4">
        <v>15000</v>
      </c>
      <c r="E17" s="1" t="s">
        <v>150</v>
      </c>
    </row>
    <row r="18" spans="1:5" x14ac:dyDescent="0.3">
      <c r="A18" s="1">
        <v>17</v>
      </c>
      <c r="B18" s="1" t="s">
        <v>151</v>
      </c>
      <c r="C18" s="1" t="s">
        <v>152</v>
      </c>
      <c r="D18" s="4">
        <v>14000</v>
      </c>
      <c r="E18" s="1" t="s">
        <v>153</v>
      </c>
    </row>
    <row r="19" spans="1:5" x14ac:dyDescent="0.3">
      <c r="A19" s="1">
        <v>18</v>
      </c>
      <c r="B19" s="1" t="s">
        <v>151</v>
      </c>
      <c r="C19" s="1" t="s">
        <v>154</v>
      </c>
      <c r="D19" s="4">
        <v>15000</v>
      </c>
      <c r="E19" s="1" t="s">
        <v>155</v>
      </c>
    </row>
    <row r="20" spans="1:5" x14ac:dyDescent="0.3">
      <c r="A20" s="1">
        <v>19</v>
      </c>
      <c r="B20" s="1" t="s">
        <v>151</v>
      </c>
      <c r="C20" s="1" t="s">
        <v>156</v>
      </c>
      <c r="D20" s="4">
        <v>6000</v>
      </c>
      <c r="E20" s="1" t="s">
        <v>157</v>
      </c>
    </row>
    <row r="21" spans="1:5" x14ac:dyDescent="0.3">
      <c r="A21" s="1">
        <v>20</v>
      </c>
      <c r="B21" s="1" t="s">
        <v>151</v>
      </c>
      <c r="C21" s="1" t="s">
        <v>158</v>
      </c>
      <c r="D21" s="4">
        <v>13000</v>
      </c>
      <c r="E21" s="1" t="s">
        <v>159</v>
      </c>
    </row>
    <row r="22" spans="1:5" x14ac:dyDescent="0.3">
      <c r="A22" s="1">
        <v>21</v>
      </c>
      <c r="B22" s="1" t="s">
        <v>151</v>
      </c>
      <c r="C22" s="1" t="s">
        <v>160</v>
      </c>
      <c r="D22" s="4">
        <v>16000</v>
      </c>
      <c r="E22" s="1" t="s">
        <v>161</v>
      </c>
    </row>
    <row r="23" spans="1:5" x14ac:dyDescent="0.3">
      <c r="A23" s="1">
        <v>22</v>
      </c>
      <c r="B23" s="1" t="s">
        <v>151</v>
      </c>
      <c r="C23" s="1" t="s">
        <v>162</v>
      </c>
      <c r="D23" s="4">
        <v>18000</v>
      </c>
      <c r="E23" s="1" t="s">
        <v>163</v>
      </c>
    </row>
    <row r="24" spans="1:5" x14ac:dyDescent="0.3">
      <c r="A24" s="1">
        <v>23</v>
      </c>
      <c r="B24" s="1" t="s">
        <v>164</v>
      </c>
      <c r="C24" s="1" t="s">
        <v>165</v>
      </c>
      <c r="D24" s="4">
        <v>5000</v>
      </c>
      <c r="E24" s="1" t="s">
        <v>166</v>
      </c>
    </row>
    <row r="25" spans="1:5" x14ac:dyDescent="0.3">
      <c r="A25" s="1">
        <v>24</v>
      </c>
      <c r="B25" s="1" t="s">
        <v>164</v>
      </c>
      <c r="C25" s="1" t="s">
        <v>167</v>
      </c>
      <c r="D25" s="4">
        <v>8000</v>
      </c>
      <c r="E25" s="1" t="s">
        <v>168</v>
      </c>
    </row>
    <row r="26" spans="1:5" x14ac:dyDescent="0.3">
      <c r="A26" s="1">
        <v>25</v>
      </c>
      <c r="B26" s="1" t="s">
        <v>164</v>
      </c>
      <c r="C26" s="1" t="s">
        <v>169</v>
      </c>
      <c r="D26" s="4">
        <v>19000</v>
      </c>
      <c r="E26" s="1" t="s">
        <v>170</v>
      </c>
    </row>
    <row r="27" spans="1:5" x14ac:dyDescent="0.3">
      <c r="A27" s="1">
        <v>26</v>
      </c>
      <c r="B27" s="1" t="s">
        <v>164</v>
      </c>
      <c r="C27" s="1" t="s">
        <v>171</v>
      </c>
      <c r="D27" s="4">
        <v>2000</v>
      </c>
      <c r="E27" s="1" t="s">
        <v>172</v>
      </c>
    </row>
    <row r="28" spans="1:5" x14ac:dyDescent="0.3">
      <c r="A28" s="1">
        <v>27</v>
      </c>
      <c r="B28" s="1" t="s">
        <v>173</v>
      </c>
      <c r="C28" s="1" t="s">
        <v>174</v>
      </c>
      <c r="D28" s="4">
        <v>5000</v>
      </c>
      <c r="E28" s="1" t="s">
        <v>175</v>
      </c>
    </row>
    <row r="29" spans="1:5" x14ac:dyDescent="0.3">
      <c r="A29" s="1">
        <v>28</v>
      </c>
      <c r="B29" s="1" t="s">
        <v>173</v>
      </c>
      <c r="C29" s="1" t="s">
        <v>176</v>
      </c>
      <c r="D29" s="4">
        <v>1000</v>
      </c>
      <c r="E29" s="1" t="s">
        <v>177</v>
      </c>
    </row>
    <row r="30" spans="1:5" x14ac:dyDescent="0.3">
      <c r="A30" s="1">
        <v>29</v>
      </c>
      <c r="B30" s="1" t="s">
        <v>173</v>
      </c>
      <c r="C30" s="1" t="s">
        <v>178</v>
      </c>
      <c r="D30" s="4">
        <v>13000</v>
      </c>
      <c r="E30" s="1" t="s">
        <v>179</v>
      </c>
    </row>
    <row r="31" spans="1:5" x14ac:dyDescent="0.3">
      <c r="A31" s="1">
        <v>30</v>
      </c>
      <c r="B31" s="1" t="s">
        <v>173</v>
      </c>
      <c r="C31" s="1" t="s">
        <v>180</v>
      </c>
      <c r="D31" s="4">
        <v>11000</v>
      </c>
      <c r="E31" s="1" t="s">
        <v>181</v>
      </c>
    </row>
    <row r="32" spans="1:5" x14ac:dyDescent="0.3">
      <c r="A32" s="1">
        <v>31</v>
      </c>
      <c r="B32" s="1" t="s">
        <v>173</v>
      </c>
      <c r="C32" s="1" t="s">
        <v>182</v>
      </c>
      <c r="D32" s="4">
        <v>13000</v>
      </c>
      <c r="E32" s="1" t="s">
        <v>183</v>
      </c>
    </row>
    <row r="33" spans="1:5" x14ac:dyDescent="0.3">
      <c r="A33" s="1">
        <v>32</v>
      </c>
      <c r="B33" s="1" t="s">
        <v>184</v>
      </c>
      <c r="C33" s="1" t="s">
        <v>185</v>
      </c>
      <c r="D33" s="4">
        <v>7000</v>
      </c>
      <c r="E33" s="1" t="s">
        <v>186</v>
      </c>
    </row>
    <row r="34" spans="1:5" x14ac:dyDescent="0.3">
      <c r="A34" s="1">
        <v>33</v>
      </c>
      <c r="B34" s="1" t="s">
        <v>184</v>
      </c>
      <c r="C34" s="1" t="s">
        <v>187</v>
      </c>
      <c r="D34" s="4">
        <v>1000</v>
      </c>
      <c r="E34" s="1" t="s">
        <v>188</v>
      </c>
    </row>
    <row r="35" spans="1:5" x14ac:dyDescent="0.3">
      <c r="A35" s="1">
        <v>34</v>
      </c>
      <c r="B35" s="1" t="s">
        <v>184</v>
      </c>
      <c r="C35" s="1" t="s">
        <v>189</v>
      </c>
      <c r="D35" s="4">
        <v>6000</v>
      </c>
      <c r="E35" s="1" t="s">
        <v>190</v>
      </c>
    </row>
    <row r="36" spans="1:5" x14ac:dyDescent="0.3">
      <c r="A36" s="1">
        <v>35</v>
      </c>
      <c r="B36" s="1" t="s">
        <v>184</v>
      </c>
      <c r="C36" s="1" t="s">
        <v>191</v>
      </c>
      <c r="D36" s="4">
        <v>19000</v>
      </c>
      <c r="E36" s="1" t="s">
        <v>192</v>
      </c>
    </row>
    <row r="37" spans="1:5" x14ac:dyDescent="0.3">
      <c r="A37" s="1">
        <v>36</v>
      </c>
      <c r="B37" s="1" t="s">
        <v>184</v>
      </c>
      <c r="C37" s="1" t="s">
        <v>193</v>
      </c>
      <c r="D37" s="4">
        <v>12000</v>
      </c>
      <c r="E37" s="1" t="s">
        <v>194</v>
      </c>
    </row>
    <row r="38" spans="1:5" x14ac:dyDescent="0.3">
      <c r="A38" s="1">
        <v>37</v>
      </c>
      <c r="B38" s="1" t="s">
        <v>195</v>
      </c>
      <c r="C38" s="1" t="s">
        <v>196</v>
      </c>
      <c r="D38" s="4">
        <v>16000</v>
      </c>
      <c r="E38" s="1" t="s">
        <v>197</v>
      </c>
    </row>
    <row r="39" spans="1:5" x14ac:dyDescent="0.3">
      <c r="A39" s="1">
        <v>38</v>
      </c>
      <c r="B39" s="1" t="s">
        <v>195</v>
      </c>
      <c r="C39" s="1" t="s">
        <v>198</v>
      </c>
      <c r="D39" s="4">
        <v>1000</v>
      </c>
      <c r="E39" s="1" t="s">
        <v>199</v>
      </c>
    </row>
    <row r="40" spans="1:5" x14ac:dyDescent="0.3">
      <c r="A40" s="1">
        <v>39</v>
      </c>
      <c r="B40" s="1" t="s">
        <v>195</v>
      </c>
      <c r="C40" s="1" t="s">
        <v>200</v>
      </c>
      <c r="D40" s="4">
        <v>5000</v>
      </c>
      <c r="E40" s="1" t="s">
        <v>201</v>
      </c>
    </row>
    <row r="41" spans="1:5" x14ac:dyDescent="0.3">
      <c r="A41" s="1">
        <v>40</v>
      </c>
      <c r="B41" s="1" t="s">
        <v>195</v>
      </c>
      <c r="C41" s="1" t="s">
        <v>202</v>
      </c>
      <c r="D41" s="4">
        <v>7000</v>
      </c>
      <c r="E41" s="1" t="s">
        <v>203</v>
      </c>
    </row>
    <row r="42" spans="1:5" x14ac:dyDescent="0.3">
      <c r="A42" s="1">
        <v>41</v>
      </c>
      <c r="B42" s="1" t="s">
        <v>195</v>
      </c>
      <c r="C42" s="1" t="s">
        <v>204</v>
      </c>
      <c r="D42" s="4">
        <v>9000</v>
      </c>
      <c r="E42" s="1" t="s">
        <v>205</v>
      </c>
    </row>
    <row r="43" spans="1:5" x14ac:dyDescent="0.3">
      <c r="A43" s="1">
        <v>42</v>
      </c>
      <c r="B43" s="1" t="s">
        <v>195</v>
      </c>
      <c r="C43" s="1" t="s">
        <v>206</v>
      </c>
      <c r="D43" s="4">
        <v>6000</v>
      </c>
      <c r="E43" s="1" t="s">
        <v>207</v>
      </c>
    </row>
    <row r="44" spans="1:5" x14ac:dyDescent="0.3">
      <c r="A44" s="1">
        <v>43</v>
      </c>
      <c r="B44" s="1" t="s">
        <v>208</v>
      </c>
      <c r="C44" s="1" t="s">
        <v>209</v>
      </c>
      <c r="D44" s="4">
        <v>5500</v>
      </c>
      <c r="E44" s="1" t="s">
        <v>210</v>
      </c>
    </row>
    <row r="45" spans="1:5" x14ac:dyDescent="0.3">
      <c r="A45" s="1">
        <v>44</v>
      </c>
      <c r="B45" s="1" t="s">
        <v>208</v>
      </c>
      <c r="C45" s="1" t="s">
        <v>211</v>
      </c>
      <c r="D45" s="4">
        <v>2500</v>
      </c>
      <c r="E45" s="1" t="s">
        <v>212</v>
      </c>
    </row>
    <row r="46" spans="1:5" x14ac:dyDescent="0.3">
      <c r="A46" s="1">
        <v>45</v>
      </c>
      <c r="B46" s="1" t="s">
        <v>208</v>
      </c>
      <c r="C46" s="1" t="s">
        <v>213</v>
      </c>
      <c r="D46" s="4">
        <v>20000</v>
      </c>
      <c r="E46" s="1" t="s">
        <v>214</v>
      </c>
    </row>
    <row r="47" spans="1:5" x14ac:dyDescent="0.3">
      <c r="A47" s="1">
        <v>46</v>
      </c>
      <c r="B47" s="1" t="s">
        <v>208</v>
      </c>
      <c r="C47" s="1" t="s">
        <v>215</v>
      </c>
      <c r="D47" s="4">
        <v>11000</v>
      </c>
      <c r="E47" s="1" t="s">
        <v>216</v>
      </c>
    </row>
    <row r="48" spans="1:5" x14ac:dyDescent="0.3">
      <c r="A48" s="1">
        <v>47</v>
      </c>
      <c r="B48" s="1" t="s">
        <v>208</v>
      </c>
      <c r="C48" s="1" t="s">
        <v>217</v>
      </c>
      <c r="D48" s="4">
        <v>3500</v>
      </c>
      <c r="E48" s="1" t="s">
        <v>218</v>
      </c>
    </row>
    <row r="49" spans="1:5" x14ac:dyDescent="0.3">
      <c r="A49" s="1">
        <v>48</v>
      </c>
      <c r="B49" s="1" t="s">
        <v>219</v>
      </c>
      <c r="C49" s="1" t="s">
        <v>220</v>
      </c>
      <c r="D49" s="4">
        <v>13000</v>
      </c>
      <c r="E49" s="1" t="s">
        <v>221</v>
      </c>
    </row>
    <row r="50" spans="1:5" x14ac:dyDescent="0.3">
      <c r="A50" s="1">
        <v>49</v>
      </c>
      <c r="B50" s="1" t="s">
        <v>219</v>
      </c>
      <c r="C50" s="1" t="s">
        <v>222</v>
      </c>
      <c r="D50" s="4">
        <v>7000</v>
      </c>
      <c r="E50" s="1" t="s">
        <v>223</v>
      </c>
    </row>
    <row r="51" spans="1:5" x14ac:dyDescent="0.3">
      <c r="A51" s="1">
        <v>50</v>
      </c>
      <c r="B51" s="1" t="s">
        <v>219</v>
      </c>
      <c r="C51" s="1" t="s">
        <v>224</v>
      </c>
      <c r="D51" s="4">
        <v>1000</v>
      </c>
      <c r="E51" s="1" t="s">
        <v>225</v>
      </c>
    </row>
    <row r="52" spans="1:5" x14ac:dyDescent="0.3">
      <c r="A52" s="1">
        <v>51</v>
      </c>
      <c r="B52" s="1" t="s">
        <v>219</v>
      </c>
      <c r="C52" s="1" t="s">
        <v>226</v>
      </c>
      <c r="D52" s="4">
        <v>13000</v>
      </c>
      <c r="E52" s="1" t="s">
        <v>227</v>
      </c>
    </row>
    <row r="53" spans="1:5" x14ac:dyDescent="0.3">
      <c r="A53" s="1">
        <v>52</v>
      </c>
      <c r="B53" s="1" t="s">
        <v>219</v>
      </c>
      <c r="C53" s="1" t="s">
        <v>228</v>
      </c>
      <c r="D53" s="4">
        <v>3000</v>
      </c>
      <c r="E53" s="1" t="s">
        <v>229</v>
      </c>
    </row>
    <row r="54" spans="1:5" x14ac:dyDescent="0.3">
      <c r="A54" s="1">
        <v>53</v>
      </c>
      <c r="B54" s="1" t="s">
        <v>230</v>
      </c>
      <c r="C54" s="1" t="s">
        <v>231</v>
      </c>
      <c r="D54" s="4">
        <v>7000</v>
      </c>
      <c r="E54" s="1" t="s">
        <v>232</v>
      </c>
    </row>
    <row r="55" spans="1:5" x14ac:dyDescent="0.3">
      <c r="A55" s="1">
        <v>54</v>
      </c>
      <c r="B55" s="1" t="s">
        <v>230</v>
      </c>
      <c r="C55" s="1" t="s">
        <v>233</v>
      </c>
      <c r="D55" s="4">
        <v>16000</v>
      </c>
      <c r="E55" s="1" t="s">
        <v>234</v>
      </c>
    </row>
    <row r="56" spans="1:5" x14ac:dyDescent="0.3">
      <c r="A56" s="1">
        <v>55</v>
      </c>
      <c r="B56" s="1" t="s">
        <v>230</v>
      </c>
      <c r="C56" s="1" t="s">
        <v>235</v>
      </c>
      <c r="D56" s="4">
        <v>11000</v>
      </c>
      <c r="E56" s="1" t="s">
        <v>236</v>
      </c>
    </row>
    <row r="57" spans="1:5" x14ac:dyDescent="0.3">
      <c r="A57" s="1">
        <v>56</v>
      </c>
      <c r="B57" s="1" t="s">
        <v>230</v>
      </c>
      <c r="C57" s="1" t="s">
        <v>237</v>
      </c>
      <c r="D57" s="4">
        <v>15000</v>
      </c>
      <c r="E57" s="1" t="s">
        <v>238</v>
      </c>
    </row>
    <row r="58" spans="1:5" x14ac:dyDescent="0.3">
      <c r="A58" s="1">
        <v>57</v>
      </c>
      <c r="B58" s="1" t="s">
        <v>230</v>
      </c>
      <c r="C58" s="1" t="s">
        <v>239</v>
      </c>
      <c r="D58" s="4">
        <v>5000</v>
      </c>
      <c r="E58" s="1" t="s">
        <v>240</v>
      </c>
    </row>
    <row r="59" spans="1:5" x14ac:dyDescent="0.3">
      <c r="A59" s="1">
        <v>58</v>
      </c>
      <c r="B59" s="1" t="s">
        <v>241</v>
      </c>
      <c r="C59" s="1" t="s">
        <v>242</v>
      </c>
      <c r="D59" s="4">
        <v>4000</v>
      </c>
      <c r="E59" s="1" t="s">
        <v>243</v>
      </c>
    </row>
    <row r="60" spans="1:5" x14ac:dyDescent="0.3">
      <c r="A60" s="1">
        <v>59</v>
      </c>
      <c r="B60" s="1" t="s">
        <v>241</v>
      </c>
      <c r="C60" s="1" t="s">
        <v>244</v>
      </c>
      <c r="D60" s="4">
        <v>4000</v>
      </c>
      <c r="E60" s="1" t="s">
        <v>245</v>
      </c>
    </row>
    <row r="61" spans="1:5" x14ac:dyDescent="0.3">
      <c r="A61" s="1">
        <v>60</v>
      </c>
      <c r="B61" s="1" t="s">
        <v>241</v>
      </c>
      <c r="C61" s="1" t="s">
        <v>246</v>
      </c>
      <c r="D61" s="4">
        <v>12000</v>
      </c>
      <c r="E61" s="1" t="s">
        <v>247</v>
      </c>
    </row>
    <row r="62" spans="1:5" x14ac:dyDescent="0.3">
      <c r="A62" s="1">
        <v>61</v>
      </c>
      <c r="B62" s="1" t="s">
        <v>241</v>
      </c>
      <c r="C62" s="1" t="s">
        <v>248</v>
      </c>
      <c r="D62" s="4">
        <v>9000</v>
      </c>
      <c r="E62" s="1" t="s">
        <v>249</v>
      </c>
    </row>
    <row r="63" spans="1:5" x14ac:dyDescent="0.3">
      <c r="A63" s="1">
        <v>62</v>
      </c>
      <c r="B63" s="1" t="s">
        <v>241</v>
      </c>
      <c r="C63" s="1" t="s">
        <v>250</v>
      </c>
      <c r="D63" s="4">
        <v>15000</v>
      </c>
      <c r="E63" s="1" t="s">
        <v>251</v>
      </c>
    </row>
    <row r="64" spans="1:5" x14ac:dyDescent="0.3">
      <c r="A64" s="1">
        <v>63</v>
      </c>
      <c r="B64" s="1" t="s">
        <v>252</v>
      </c>
      <c r="C64" s="1" t="s">
        <v>253</v>
      </c>
      <c r="D64" s="4">
        <v>17000</v>
      </c>
      <c r="E64" s="1" t="s">
        <v>254</v>
      </c>
    </row>
    <row r="65" spans="1:5" x14ac:dyDescent="0.3">
      <c r="A65" s="1">
        <v>64</v>
      </c>
      <c r="B65" s="1" t="s">
        <v>252</v>
      </c>
      <c r="C65" s="1" t="s">
        <v>255</v>
      </c>
      <c r="D65" s="4">
        <v>10000</v>
      </c>
      <c r="E65" s="1" t="s">
        <v>256</v>
      </c>
    </row>
    <row r="66" spans="1:5" x14ac:dyDescent="0.3">
      <c r="A66" s="1">
        <v>65</v>
      </c>
      <c r="B66" s="1" t="s">
        <v>252</v>
      </c>
      <c r="C66" s="1" t="s">
        <v>257</v>
      </c>
      <c r="D66" s="4">
        <v>6000</v>
      </c>
      <c r="E66" s="1" t="s">
        <v>258</v>
      </c>
    </row>
    <row r="67" spans="1:5" x14ac:dyDescent="0.3">
      <c r="A67" s="1">
        <v>66</v>
      </c>
      <c r="B67" s="1" t="s">
        <v>252</v>
      </c>
      <c r="C67" s="1" t="s">
        <v>259</v>
      </c>
      <c r="D67" s="4">
        <v>9000</v>
      </c>
      <c r="E67" s="1" t="s">
        <v>260</v>
      </c>
    </row>
    <row r="68" spans="1:5" x14ac:dyDescent="0.3">
      <c r="A68" s="1">
        <v>67</v>
      </c>
      <c r="B68" s="1" t="s">
        <v>252</v>
      </c>
      <c r="C68" s="1" t="s">
        <v>261</v>
      </c>
      <c r="D68" s="4">
        <v>12000</v>
      </c>
      <c r="E68" s="1" t="s">
        <v>262</v>
      </c>
    </row>
    <row r="69" spans="1:5" x14ac:dyDescent="0.3">
      <c r="A69" s="1">
        <v>68</v>
      </c>
      <c r="B69" s="1" t="s">
        <v>252</v>
      </c>
      <c r="C69" s="1" t="s">
        <v>263</v>
      </c>
      <c r="D69" s="4">
        <v>1000</v>
      </c>
      <c r="E69" s="1" t="s">
        <v>264</v>
      </c>
    </row>
    <row r="70" spans="1:5" x14ac:dyDescent="0.3">
      <c r="A70" s="1">
        <v>69</v>
      </c>
      <c r="B70" s="1" t="s">
        <v>265</v>
      </c>
      <c r="C70" s="1" t="s">
        <v>266</v>
      </c>
      <c r="D70" s="4">
        <v>1000</v>
      </c>
      <c r="E70" s="1" t="s">
        <v>267</v>
      </c>
    </row>
    <row r="71" spans="1:5" x14ac:dyDescent="0.3">
      <c r="A71" s="1">
        <v>70</v>
      </c>
      <c r="B71" s="1" t="s">
        <v>265</v>
      </c>
      <c r="C71" s="1" t="s">
        <v>268</v>
      </c>
      <c r="D71" s="4">
        <v>15000</v>
      </c>
      <c r="E71" s="1" t="s">
        <v>269</v>
      </c>
    </row>
    <row r="72" spans="1:5" x14ac:dyDescent="0.3">
      <c r="A72" s="1">
        <v>71</v>
      </c>
      <c r="B72" s="1" t="s">
        <v>265</v>
      </c>
      <c r="C72" s="1" t="s">
        <v>270</v>
      </c>
      <c r="D72" s="4">
        <v>20000</v>
      </c>
      <c r="E72" s="1" t="s">
        <v>271</v>
      </c>
    </row>
    <row r="73" spans="1:5" x14ac:dyDescent="0.3">
      <c r="A73" s="1">
        <v>72</v>
      </c>
      <c r="B73" s="1" t="s">
        <v>265</v>
      </c>
      <c r="C73" s="1" t="s">
        <v>272</v>
      </c>
      <c r="D73" s="4">
        <v>18000</v>
      </c>
      <c r="E73" s="1" t="s">
        <v>273</v>
      </c>
    </row>
    <row r="74" spans="1:5" x14ac:dyDescent="0.3">
      <c r="A74" s="1">
        <v>73</v>
      </c>
      <c r="B74" s="1" t="s">
        <v>265</v>
      </c>
      <c r="C74" s="1" t="s">
        <v>274</v>
      </c>
      <c r="D74" s="4">
        <v>6000</v>
      </c>
      <c r="E74" s="1" t="s">
        <v>275</v>
      </c>
    </row>
    <row r="75" spans="1:5" x14ac:dyDescent="0.3">
      <c r="A75" s="1">
        <v>74</v>
      </c>
      <c r="B75" s="1" t="s">
        <v>265</v>
      </c>
      <c r="C75" s="1" t="s">
        <v>276</v>
      </c>
      <c r="D75" s="4">
        <v>7000</v>
      </c>
      <c r="E75" s="1" t="s">
        <v>277</v>
      </c>
    </row>
    <row r="76" spans="1:5" x14ac:dyDescent="0.3">
      <c r="A76" s="1">
        <v>75</v>
      </c>
      <c r="B76" s="1" t="s">
        <v>278</v>
      </c>
      <c r="C76" s="1" t="s">
        <v>279</v>
      </c>
      <c r="D76" s="4">
        <v>17000</v>
      </c>
      <c r="E76" s="1" t="s">
        <v>280</v>
      </c>
    </row>
    <row r="77" spans="1:5" x14ac:dyDescent="0.3">
      <c r="A77" s="1">
        <v>76</v>
      </c>
      <c r="B77" s="1" t="s">
        <v>278</v>
      </c>
      <c r="C77" s="1" t="s">
        <v>281</v>
      </c>
      <c r="D77" s="4">
        <v>6000</v>
      </c>
      <c r="E77" s="1" t="s">
        <v>282</v>
      </c>
    </row>
    <row r="78" spans="1:5" x14ac:dyDescent="0.3">
      <c r="A78" s="1">
        <v>77</v>
      </c>
      <c r="B78" s="1" t="s">
        <v>278</v>
      </c>
      <c r="C78" s="1" t="s">
        <v>283</v>
      </c>
      <c r="D78" s="4">
        <v>5000</v>
      </c>
      <c r="E78" s="1" t="s">
        <v>284</v>
      </c>
    </row>
    <row r="79" spans="1:5" x14ac:dyDescent="0.3">
      <c r="A79" s="1">
        <v>78</v>
      </c>
      <c r="B79" s="1" t="s">
        <v>278</v>
      </c>
      <c r="C79" s="1" t="s">
        <v>285</v>
      </c>
      <c r="D79" s="4">
        <v>2000</v>
      </c>
      <c r="E79" s="1" t="s">
        <v>286</v>
      </c>
    </row>
    <row r="80" spans="1:5" x14ac:dyDescent="0.3">
      <c r="A80" s="1">
        <v>79</v>
      </c>
      <c r="B80" s="1" t="s">
        <v>278</v>
      </c>
      <c r="C80" s="1" t="s">
        <v>287</v>
      </c>
      <c r="D80" s="4">
        <v>12000</v>
      </c>
      <c r="E80" s="1" t="s">
        <v>288</v>
      </c>
    </row>
    <row r="81" spans="1:5" x14ac:dyDescent="0.3">
      <c r="A81" s="1">
        <v>80</v>
      </c>
      <c r="B81" s="1" t="s">
        <v>278</v>
      </c>
      <c r="C81" s="1" t="s">
        <v>289</v>
      </c>
      <c r="D81" s="4">
        <v>6000</v>
      </c>
      <c r="E81" s="1" t="s">
        <v>290</v>
      </c>
    </row>
    <row r="82" spans="1:5" x14ac:dyDescent="0.3">
      <c r="A82" s="1">
        <v>81</v>
      </c>
      <c r="B82" s="1" t="s">
        <v>291</v>
      </c>
      <c r="C82" s="1" t="s">
        <v>292</v>
      </c>
      <c r="D82" s="4">
        <v>16000</v>
      </c>
      <c r="E82" s="1" t="s">
        <v>293</v>
      </c>
    </row>
    <row r="83" spans="1:5" x14ac:dyDescent="0.3">
      <c r="A83" s="1">
        <v>82</v>
      </c>
      <c r="B83" s="1" t="s">
        <v>291</v>
      </c>
      <c r="C83" s="1" t="s">
        <v>294</v>
      </c>
      <c r="D83" s="4">
        <v>8600</v>
      </c>
      <c r="E83" s="1" t="s">
        <v>295</v>
      </c>
    </row>
    <row r="84" spans="1:5" x14ac:dyDescent="0.3">
      <c r="A84" s="1">
        <v>83</v>
      </c>
      <c r="B84" s="1" t="s">
        <v>291</v>
      </c>
      <c r="C84" s="1" t="s">
        <v>296</v>
      </c>
      <c r="D84" s="4">
        <v>7400</v>
      </c>
      <c r="E84" s="1" t="s">
        <v>297</v>
      </c>
    </row>
    <row r="85" spans="1:5" x14ac:dyDescent="0.3">
      <c r="A85" s="1">
        <v>84</v>
      </c>
      <c r="B85" s="1" t="s">
        <v>291</v>
      </c>
      <c r="C85" s="1" t="s">
        <v>298</v>
      </c>
      <c r="D85" s="4">
        <v>13400</v>
      </c>
      <c r="E85" s="1" t="s">
        <v>299</v>
      </c>
    </row>
    <row r="86" spans="1:5" x14ac:dyDescent="0.3">
      <c r="A86" s="1">
        <v>85</v>
      </c>
      <c r="B86" s="1" t="s">
        <v>291</v>
      </c>
      <c r="C86" s="1" t="s">
        <v>300</v>
      </c>
      <c r="D86" s="4">
        <v>9000</v>
      </c>
      <c r="E86" s="1" t="s">
        <v>301</v>
      </c>
    </row>
    <row r="87" spans="1:5" x14ac:dyDescent="0.3">
      <c r="A87" s="1">
        <v>86</v>
      </c>
      <c r="B87" s="1" t="s">
        <v>302</v>
      </c>
      <c r="C87" s="1" t="s">
        <v>303</v>
      </c>
      <c r="D87" s="4">
        <v>7500</v>
      </c>
      <c r="E87" s="1" t="s">
        <v>304</v>
      </c>
    </row>
    <row r="88" spans="1:5" x14ac:dyDescent="0.3">
      <c r="A88" s="1">
        <v>87</v>
      </c>
      <c r="B88" s="1" t="s">
        <v>302</v>
      </c>
      <c r="C88" s="1" t="s">
        <v>305</v>
      </c>
      <c r="D88" s="4">
        <v>6700</v>
      </c>
      <c r="E88" s="1" t="s">
        <v>306</v>
      </c>
    </row>
    <row r="89" spans="1:5" x14ac:dyDescent="0.3">
      <c r="A89" s="1">
        <v>88</v>
      </c>
      <c r="B89" s="1" t="s">
        <v>302</v>
      </c>
      <c r="C89" s="1" t="s">
        <v>307</v>
      </c>
      <c r="D89" s="4">
        <v>2700</v>
      </c>
      <c r="E89" s="1" t="s">
        <v>308</v>
      </c>
    </row>
    <row r="90" spans="1:5" x14ac:dyDescent="0.3">
      <c r="A90" s="1">
        <v>89</v>
      </c>
      <c r="B90" s="1" t="s">
        <v>302</v>
      </c>
      <c r="C90" s="1" t="s">
        <v>309</v>
      </c>
      <c r="D90" s="4">
        <v>4200</v>
      </c>
      <c r="E90" s="1" t="s">
        <v>310</v>
      </c>
    </row>
    <row r="91" spans="1:5" x14ac:dyDescent="0.3">
      <c r="A91" s="1">
        <v>90</v>
      </c>
      <c r="B91" s="1" t="s">
        <v>302</v>
      </c>
      <c r="C91" s="1" t="s">
        <v>311</v>
      </c>
      <c r="D91" s="4">
        <v>18200</v>
      </c>
      <c r="E91" s="1" t="s">
        <v>312</v>
      </c>
    </row>
  </sheetData>
  <phoneticPr fontId="1" type="noConversion"/>
  <conditionalFormatting sqref="A1:E1048576">
    <cfRule type="expression" dxfId="3" priority="1">
      <formula>$A1&lt;&gt;""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5</xdr:col>
                <xdr:colOff>123825</xdr:colOff>
                <xdr:row>0</xdr:row>
                <xdr:rowOff>95250</xdr:rowOff>
              </from>
              <to>
                <xdr:col>7</xdr:col>
                <xdr:colOff>381000</xdr:colOff>
                <xdr:row>2</xdr:row>
                <xdr:rowOff>161925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E58"/>
  <sheetViews>
    <sheetView showGridLines="0" workbookViewId="0">
      <selection activeCell="K19" sqref="K19"/>
    </sheetView>
  </sheetViews>
  <sheetFormatPr defaultRowHeight="16.5" x14ac:dyDescent="0.3"/>
  <cols>
    <col min="1" max="2" width="9" style="1"/>
    <col min="3" max="3" width="20.625" style="1" bestFit="1" customWidth="1"/>
    <col min="4" max="4" width="13.375" style="1" bestFit="1" customWidth="1"/>
    <col min="5" max="5" width="12.875" style="4" bestFit="1" customWidth="1"/>
    <col min="6" max="16384" width="9" style="1"/>
  </cols>
  <sheetData>
    <row r="1" spans="1:5" x14ac:dyDescent="0.3">
      <c r="A1" s="8" t="s">
        <v>0</v>
      </c>
      <c r="B1" s="8" t="s">
        <v>112</v>
      </c>
      <c r="C1" s="8" t="s">
        <v>313</v>
      </c>
      <c r="D1" s="8" t="s">
        <v>314</v>
      </c>
      <c r="E1" s="9" t="s">
        <v>624</v>
      </c>
    </row>
    <row r="2" spans="1:5" x14ac:dyDescent="0.3">
      <c r="A2" s="5">
        <v>1</v>
      </c>
      <c r="B2" s="5" t="s">
        <v>116</v>
      </c>
      <c r="C2" s="5" t="s">
        <v>315</v>
      </c>
      <c r="D2" s="5" t="s">
        <v>316</v>
      </c>
      <c r="E2" s="4">
        <f>fn패키지금액(D2)</f>
        <v>18720</v>
      </c>
    </row>
    <row r="3" spans="1:5" x14ac:dyDescent="0.3">
      <c r="A3" s="5">
        <v>2</v>
      </c>
      <c r="B3" s="5" t="s">
        <v>116</v>
      </c>
      <c r="C3" s="5" t="s">
        <v>317</v>
      </c>
      <c r="D3" s="5" t="s">
        <v>318</v>
      </c>
      <c r="E3" s="4">
        <f t="shared" ref="E3:E58" si="0">fn패키지금액(D3)</f>
        <v>26740</v>
      </c>
    </row>
    <row r="4" spans="1:5" x14ac:dyDescent="0.3">
      <c r="A4" s="5">
        <v>3</v>
      </c>
      <c r="B4" s="5" t="s">
        <v>116</v>
      </c>
      <c r="C4" s="5" t="s">
        <v>319</v>
      </c>
      <c r="D4" s="5" t="s">
        <v>320</v>
      </c>
      <c r="E4" s="4">
        <f t="shared" si="0"/>
        <v>26720</v>
      </c>
    </row>
    <row r="5" spans="1:5" x14ac:dyDescent="0.3">
      <c r="A5" s="5">
        <v>4</v>
      </c>
      <c r="B5" s="5" t="s">
        <v>116</v>
      </c>
      <c r="C5" s="5" t="s">
        <v>321</v>
      </c>
      <c r="D5" s="5" t="s">
        <v>322</v>
      </c>
      <c r="E5" s="4">
        <f t="shared" si="0"/>
        <v>31620</v>
      </c>
    </row>
    <row r="6" spans="1:5" x14ac:dyDescent="0.3">
      <c r="A6" s="5">
        <v>5</v>
      </c>
      <c r="B6" s="5" t="s">
        <v>116</v>
      </c>
      <c r="C6" s="5" t="s">
        <v>323</v>
      </c>
      <c r="D6" s="5" t="s">
        <v>324</v>
      </c>
      <c r="E6" s="4">
        <f t="shared" si="0"/>
        <v>23520</v>
      </c>
    </row>
    <row r="7" spans="1:5" x14ac:dyDescent="0.3">
      <c r="A7" s="5">
        <v>6</v>
      </c>
      <c r="B7" s="5" t="s">
        <v>127</v>
      </c>
      <c r="C7" s="5" t="s">
        <v>325</v>
      </c>
      <c r="D7" s="5" t="s">
        <v>326</v>
      </c>
      <c r="E7" s="4">
        <f t="shared" si="0"/>
        <v>26800</v>
      </c>
    </row>
    <row r="8" spans="1:5" x14ac:dyDescent="0.3">
      <c r="A8" s="5">
        <v>7</v>
      </c>
      <c r="B8" s="5" t="s">
        <v>127</v>
      </c>
      <c r="C8" s="5" t="s">
        <v>327</v>
      </c>
      <c r="D8" s="5" t="s">
        <v>328</v>
      </c>
      <c r="E8" s="4">
        <f t="shared" si="0"/>
        <v>26080</v>
      </c>
    </row>
    <row r="9" spans="1:5" x14ac:dyDescent="0.3">
      <c r="A9" s="5">
        <v>8</v>
      </c>
      <c r="B9" s="5" t="s">
        <v>127</v>
      </c>
      <c r="C9" s="5" t="s">
        <v>329</v>
      </c>
      <c r="D9" s="5" t="s">
        <v>330</v>
      </c>
      <c r="E9" s="4">
        <f t="shared" si="0"/>
        <v>21920</v>
      </c>
    </row>
    <row r="10" spans="1:5" x14ac:dyDescent="0.3">
      <c r="A10" s="5">
        <v>9</v>
      </c>
      <c r="B10" s="5" t="s">
        <v>138</v>
      </c>
      <c r="C10" s="5" t="s">
        <v>331</v>
      </c>
      <c r="D10" s="5" t="s">
        <v>332</v>
      </c>
      <c r="E10" s="4">
        <f t="shared" si="0"/>
        <v>31200</v>
      </c>
    </row>
    <row r="11" spans="1:5" x14ac:dyDescent="0.3">
      <c r="A11" s="5">
        <v>10</v>
      </c>
      <c r="B11" s="5" t="s">
        <v>138</v>
      </c>
      <c r="C11" s="5" t="s">
        <v>333</v>
      </c>
      <c r="D11" s="5" t="s">
        <v>334</v>
      </c>
      <c r="E11" s="4">
        <f t="shared" si="0"/>
        <v>22400</v>
      </c>
    </row>
    <row r="12" spans="1:5" x14ac:dyDescent="0.3">
      <c r="A12" s="5">
        <v>11</v>
      </c>
      <c r="B12" s="5" t="s">
        <v>138</v>
      </c>
      <c r="C12" s="5" t="s">
        <v>335</v>
      </c>
      <c r="D12" s="5" t="s">
        <v>336</v>
      </c>
      <c r="E12" s="4">
        <f t="shared" si="0"/>
        <v>21600</v>
      </c>
    </row>
    <row r="13" spans="1:5" x14ac:dyDescent="0.3">
      <c r="A13" s="5">
        <v>12</v>
      </c>
      <c r="B13" s="5" t="s">
        <v>138</v>
      </c>
      <c r="C13" s="5" t="s">
        <v>337</v>
      </c>
      <c r="D13" s="5" t="s">
        <v>338</v>
      </c>
      <c r="E13" s="4">
        <f t="shared" si="0"/>
        <v>13500</v>
      </c>
    </row>
    <row r="14" spans="1:5" x14ac:dyDescent="0.3">
      <c r="A14" s="5">
        <v>13</v>
      </c>
      <c r="B14" s="5" t="s">
        <v>138</v>
      </c>
      <c r="C14" s="5" t="s">
        <v>339</v>
      </c>
      <c r="D14" s="5" t="s">
        <v>340</v>
      </c>
      <c r="E14" s="4">
        <f t="shared" si="0"/>
        <v>37600</v>
      </c>
    </row>
    <row r="15" spans="1:5" x14ac:dyDescent="0.3">
      <c r="A15" s="5">
        <v>14</v>
      </c>
      <c r="B15" s="5" t="s">
        <v>151</v>
      </c>
      <c r="C15" s="5" t="s">
        <v>341</v>
      </c>
      <c r="D15" s="5" t="s">
        <v>342</v>
      </c>
      <c r="E15" s="4">
        <f t="shared" si="0"/>
        <v>28000</v>
      </c>
    </row>
    <row r="16" spans="1:5" x14ac:dyDescent="0.3">
      <c r="A16" s="5">
        <v>15</v>
      </c>
      <c r="B16" s="5" t="s">
        <v>151</v>
      </c>
      <c r="C16" s="5" t="s">
        <v>343</v>
      </c>
      <c r="D16" s="5" t="s">
        <v>344</v>
      </c>
      <c r="E16" s="4">
        <f t="shared" si="0"/>
        <v>18900</v>
      </c>
    </row>
    <row r="17" spans="1:5" x14ac:dyDescent="0.3">
      <c r="A17" s="5">
        <v>16</v>
      </c>
      <c r="B17" s="5" t="s">
        <v>151</v>
      </c>
      <c r="C17" s="5" t="s">
        <v>345</v>
      </c>
      <c r="D17" s="5" t="s">
        <v>346</v>
      </c>
      <c r="E17" s="4">
        <f t="shared" si="0"/>
        <v>31200</v>
      </c>
    </row>
    <row r="18" spans="1:5" x14ac:dyDescent="0.3">
      <c r="A18" s="5">
        <v>17</v>
      </c>
      <c r="B18" s="5" t="s">
        <v>151</v>
      </c>
      <c r="C18" s="5" t="s">
        <v>347</v>
      </c>
      <c r="D18" s="5" t="s">
        <v>348</v>
      </c>
      <c r="E18" s="4">
        <f t="shared" si="0"/>
        <v>25200</v>
      </c>
    </row>
    <row r="19" spans="1:5" x14ac:dyDescent="0.3">
      <c r="A19" s="5">
        <v>18</v>
      </c>
      <c r="B19" s="5" t="s">
        <v>151</v>
      </c>
      <c r="C19" s="5" t="s">
        <v>349</v>
      </c>
      <c r="D19" s="5" t="s">
        <v>350</v>
      </c>
      <c r="E19" s="4">
        <f t="shared" si="0"/>
        <v>26100</v>
      </c>
    </row>
    <row r="20" spans="1:5" x14ac:dyDescent="0.3">
      <c r="A20" s="5">
        <v>19</v>
      </c>
      <c r="B20" s="5" t="s">
        <v>164</v>
      </c>
      <c r="C20" s="5" t="s">
        <v>351</v>
      </c>
      <c r="D20" s="5" t="s">
        <v>352</v>
      </c>
      <c r="E20" s="4">
        <f t="shared" si="0"/>
        <v>18900</v>
      </c>
    </row>
    <row r="21" spans="1:5" x14ac:dyDescent="0.3">
      <c r="A21" s="5">
        <v>20</v>
      </c>
      <c r="B21" s="5" t="s">
        <v>164</v>
      </c>
      <c r="C21" s="5" t="s">
        <v>353</v>
      </c>
      <c r="D21" s="5" t="s">
        <v>354</v>
      </c>
      <c r="E21" s="4">
        <f t="shared" si="0"/>
        <v>23800</v>
      </c>
    </row>
    <row r="22" spans="1:5" x14ac:dyDescent="0.3">
      <c r="A22" s="5">
        <v>21</v>
      </c>
      <c r="B22" s="5" t="s">
        <v>173</v>
      </c>
      <c r="C22" s="5" t="s">
        <v>355</v>
      </c>
      <c r="D22" s="5" t="s">
        <v>356</v>
      </c>
      <c r="E22" s="4">
        <f t="shared" si="0"/>
        <v>20000</v>
      </c>
    </row>
    <row r="23" spans="1:5" x14ac:dyDescent="0.3">
      <c r="A23" s="5">
        <v>22</v>
      </c>
      <c r="B23" s="5" t="s">
        <v>173</v>
      </c>
      <c r="C23" s="5" t="s">
        <v>357</v>
      </c>
      <c r="D23" s="5" t="s">
        <v>358</v>
      </c>
      <c r="E23" s="4">
        <f t="shared" si="0"/>
        <v>12600</v>
      </c>
    </row>
    <row r="24" spans="1:5" x14ac:dyDescent="0.3">
      <c r="A24" s="5">
        <v>23</v>
      </c>
      <c r="B24" s="5" t="s">
        <v>184</v>
      </c>
      <c r="C24" s="5" t="s">
        <v>359</v>
      </c>
      <c r="D24" s="5" t="s">
        <v>360</v>
      </c>
      <c r="E24" s="4">
        <f t="shared" si="0"/>
        <v>6300</v>
      </c>
    </row>
    <row r="25" spans="1:5" x14ac:dyDescent="0.3">
      <c r="A25" s="5">
        <v>24</v>
      </c>
      <c r="B25" s="5" t="s">
        <v>184</v>
      </c>
      <c r="C25" s="5" t="s">
        <v>361</v>
      </c>
      <c r="D25" s="5" t="s">
        <v>362</v>
      </c>
      <c r="E25" s="4">
        <f t="shared" si="0"/>
        <v>22500</v>
      </c>
    </row>
    <row r="26" spans="1:5" x14ac:dyDescent="0.3">
      <c r="A26" s="5">
        <v>25</v>
      </c>
      <c r="B26" s="5" t="s">
        <v>184</v>
      </c>
      <c r="C26" s="5" t="s">
        <v>363</v>
      </c>
      <c r="D26" s="5" t="s">
        <v>364</v>
      </c>
      <c r="E26" s="4">
        <f t="shared" si="0"/>
        <v>27000</v>
      </c>
    </row>
    <row r="27" spans="1:5" x14ac:dyDescent="0.3">
      <c r="A27" s="5">
        <v>26</v>
      </c>
      <c r="B27" s="5" t="s">
        <v>195</v>
      </c>
      <c r="C27" s="5" t="s">
        <v>365</v>
      </c>
      <c r="D27" s="5" t="s">
        <v>366</v>
      </c>
      <c r="E27" s="4">
        <f t="shared" si="0"/>
        <v>22800</v>
      </c>
    </row>
    <row r="28" spans="1:5" x14ac:dyDescent="0.3">
      <c r="A28" s="5">
        <v>27</v>
      </c>
      <c r="B28" s="5" t="s">
        <v>195</v>
      </c>
      <c r="C28" s="5" t="s">
        <v>367</v>
      </c>
      <c r="D28" s="5" t="s">
        <v>368</v>
      </c>
      <c r="E28" s="4">
        <f t="shared" si="0"/>
        <v>15600</v>
      </c>
    </row>
    <row r="29" spans="1:5" x14ac:dyDescent="0.3">
      <c r="A29" s="5">
        <v>28</v>
      </c>
      <c r="B29" s="5" t="s">
        <v>195</v>
      </c>
      <c r="C29" s="5" t="s">
        <v>369</v>
      </c>
      <c r="D29" s="5" t="s">
        <v>370</v>
      </c>
      <c r="E29" s="4">
        <f t="shared" si="0"/>
        <v>11700</v>
      </c>
    </row>
    <row r="30" spans="1:5" x14ac:dyDescent="0.3">
      <c r="A30" s="5">
        <v>29</v>
      </c>
      <c r="B30" s="5" t="s">
        <v>195</v>
      </c>
      <c r="C30" s="5" t="s">
        <v>371</v>
      </c>
      <c r="D30" s="5" t="s">
        <v>372</v>
      </c>
      <c r="E30" s="4">
        <f t="shared" si="0"/>
        <v>11200</v>
      </c>
    </row>
    <row r="31" spans="1:5" x14ac:dyDescent="0.3">
      <c r="A31" s="5">
        <v>30</v>
      </c>
      <c r="B31" s="5" t="s">
        <v>195</v>
      </c>
      <c r="C31" s="5" t="s">
        <v>373</v>
      </c>
      <c r="D31" s="5" t="s">
        <v>374</v>
      </c>
      <c r="E31" s="4">
        <f t="shared" si="0"/>
        <v>16800</v>
      </c>
    </row>
    <row r="32" spans="1:5" x14ac:dyDescent="0.3">
      <c r="A32" s="5">
        <v>31</v>
      </c>
      <c r="B32" s="5" t="s">
        <v>195</v>
      </c>
      <c r="C32" s="5" t="s">
        <v>375</v>
      </c>
      <c r="D32" s="5" t="s">
        <v>376</v>
      </c>
      <c r="E32" s="4">
        <f t="shared" si="0"/>
        <v>12600</v>
      </c>
    </row>
    <row r="33" spans="1:5" x14ac:dyDescent="0.3">
      <c r="A33" s="5">
        <v>32</v>
      </c>
      <c r="B33" s="5" t="s">
        <v>208</v>
      </c>
      <c r="C33" s="5" t="s">
        <v>377</v>
      </c>
      <c r="D33" s="5" t="s">
        <v>378</v>
      </c>
      <c r="E33" s="4">
        <f t="shared" si="0"/>
        <v>25500</v>
      </c>
    </row>
    <row r="34" spans="1:5" x14ac:dyDescent="0.3">
      <c r="A34" s="5">
        <v>33</v>
      </c>
      <c r="B34" s="5" t="s">
        <v>208</v>
      </c>
      <c r="C34" s="5" t="s">
        <v>379</v>
      </c>
      <c r="D34" s="5" t="s">
        <v>380</v>
      </c>
      <c r="E34" s="4">
        <f t="shared" si="0"/>
        <v>13600</v>
      </c>
    </row>
    <row r="35" spans="1:5" x14ac:dyDescent="0.3">
      <c r="A35" s="5">
        <v>34</v>
      </c>
      <c r="B35" s="5" t="s">
        <v>208</v>
      </c>
      <c r="C35" s="5" t="s">
        <v>381</v>
      </c>
      <c r="D35" s="5" t="s">
        <v>382</v>
      </c>
      <c r="E35" s="4">
        <f t="shared" si="0"/>
        <v>26800</v>
      </c>
    </row>
    <row r="36" spans="1:5" x14ac:dyDescent="0.3">
      <c r="A36" s="5">
        <v>35</v>
      </c>
      <c r="B36" s="5" t="s">
        <v>208</v>
      </c>
      <c r="C36" s="5" t="s">
        <v>383</v>
      </c>
      <c r="D36" s="5" t="s">
        <v>384</v>
      </c>
      <c r="E36" s="4">
        <f t="shared" si="0"/>
        <v>27900</v>
      </c>
    </row>
    <row r="37" spans="1:5" x14ac:dyDescent="0.3">
      <c r="A37" s="5">
        <v>36</v>
      </c>
      <c r="B37" s="5" t="s">
        <v>208</v>
      </c>
      <c r="C37" s="5" t="s">
        <v>385</v>
      </c>
      <c r="D37" s="5" t="s">
        <v>386</v>
      </c>
      <c r="E37" s="4">
        <f t="shared" si="0"/>
        <v>20250</v>
      </c>
    </row>
    <row r="38" spans="1:5" x14ac:dyDescent="0.3">
      <c r="A38" s="5">
        <v>37</v>
      </c>
      <c r="B38" s="5" t="s">
        <v>219</v>
      </c>
      <c r="C38" s="5" t="s">
        <v>387</v>
      </c>
      <c r="D38" s="5" t="s">
        <v>388</v>
      </c>
      <c r="E38" s="4">
        <f t="shared" si="0"/>
        <v>12600</v>
      </c>
    </row>
    <row r="39" spans="1:5" x14ac:dyDescent="0.3">
      <c r="A39" s="5">
        <v>38</v>
      </c>
      <c r="B39" s="5" t="s">
        <v>219</v>
      </c>
      <c r="C39" s="5" t="s">
        <v>389</v>
      </c>
      <c r="D39" s="5" t="s">
        <v>390</v>
      </c>
      <c r="E39" s="4">
        <f t="shared" si="0"/>
        <v>7200</v>
      </c>
    </row>
    <row r="40" spans="1:5" x14ac:dyDescent="0.3">
      <c r="A40" s="5">
        <v>39</v>
      </c>
      <c r="B40" s="5" t="s">
        <v>230</v>
      </c>
      <c r="C40" s="5" t="s">
        <v>391</v>
      </c>
      <c r="D40" s="6" t="s">
        <v>392</v>
      </c>
      <c r="E40" s="4">
        <f t="shared" si="0"/>
        <v>18900</v>
      </c>
    </row>
    <row r="41" spans="1:5" x14ac:dyDescent="0.3">
      <c r="A41" s="5">
        <v>40</v>
      </c>
      <c r="B41" s="5" t="s">
        <v>230</v>
      </c>
      <c r="C41" s="5" t="s">
        <v>393</v>
      </c>
      <c r="D41" s="6" t="s">
        <v>394</v>
      </c>
      <c r="E41" s="4">
        <f t="shared" si="0"/>
        <v>25600</v>
      </c>
    </row>
    <row r="42" spans="1:5" x14ac:dyDescent="0.3">
      <c r="A42" s="5">
        <v>41</v>
      </c>
      <c r="B42" s="5" t="s">
        <v>230</v>
      </c>
      <c r="C42" s="5" t="s">
        <v>395</v>
      </c>
      <c r="D42" s="6" t="s">
        <v>396</v>
      </c>
      <c r="E42" s="4">
        <f t="shared" si="0"/>
        <v>33600</v>
      </c>
    </row>
    <row r="43" spans="1:5" x14ac:dyDescent="0.3">
      <c r="A43" s="5">
        <v>42</v>
      </c>
      <c r="B43" s="5" t="s">
        <v>241</v>
      </c>
      <c r="C43" s="5" t="s">
        <v>397</v>
      </c>
      <c r="D43" s="6" t="s">
        <v>398</v>
      </c>
      <c r="E43" s="4">
        <f t="shared" si="0"/>
        <v>7200</v>
      </c>
    </row>
    <row r="44" spans="1:5" x14ac:dyDescent="0.3">
      <c r="A44" s="5">
        <v>43</v>
      </c>
      <c r="B44" s="5" t="s">
        <v>241</v>
      </c>
      <c r="C44" s="5" t="s">
        <v>399</v>
      </c>
      <c r="D44" s="6" t="s">
        <v>400</v>
      </c>
      <c r="E44" s="4">
        <f t="shared" si="0"/>
        <v>21600</v>
      </c>
    </row>
    <row r="45" spans="1:5" x14ac:dyDescent="0.3">
      <c r="A45" s="5">
        <v>44</v>
      </c>
      <c r="B45" s="5" t="s">
        <v>241</v>
      </c>
      <c r="C45" s="5" t="s">
        <v>401</v>
      </c>
      <c r="D45" s="6" t="s">
        <v>402</v>
      </c>
      <c r="E45" s="4">
        <f t="shared" si="0"/>
        <v>14400</v>
      </c>
    </row>
    <row r="46" spans="1:5" x14ac:dyDescent="0.3">
      <c r="A46" s="5">
        <v>45</v>
      </c>
      <c r="B46" s="5" t="s">
        <v>252</v>
      </c>
      <c r="C46" s="5" t="s">
        <v>403</v>
      </c>
      <c r="D46" s="6" t="s">
        <v>404</v>
      </c>
      <c r="E46" s="4">
        <f t="shared" si="0"/>
        <v>19800</v>
      </c>
    </row>
    <row r="47" spans="1:5" x14ac:dyDescent="0.3">
      <c r="A47" s="5">
        <v>46</v>
      </c>
      <c r="B47" s="5" t="s">
        <v>252</v>
      </c>
      <c r="C47" s="5" t="s">
        <v>405</v>
      </c>
      <c r="D47" s="6" t="s">
        <v>406</v>
      </c>
      <c r="E47" s="4">
        <f t="shared" si="0"/>
        <v>22800</v>
      </c>
    </row>
    <row r="48" spans="1:5" x14ac:dyDescent="0.3">
      <c r="A48" s="5">
        <v>47</v>
      </c>
      <c r="B48" s="5" t="s">
        <v>252</v>
      </c>
      <c r="C48" s="5" t="s">
        <v>407</v>
      </c>
      <c r="D48" s="6" t="s">
        <v>408</v>
      </c>
      <c r="E48" s="4">
        <f t="shared" si="0"/>
        <v>11700</v>
      </c>
    </row>
    <row r="49" spans="1:5" x14ac:dyDescent="0.3">
      <c r="A49" s="5">
        <v>48</v>
      </c>
      <c r="B49" s="5" t="s">
        <v>265</v>
      </c>
      <c r="C49" s="5" t="s">
        <v>409</v>
      </c>
      <c r="D49" s="7" t="s">
        <v>410</v>
      </c>
      <c r="E49" s="4">
        <f t="shared" si="0"/>
        <v>18400</v>
      </c>
    </row>
    <row r="50" spans="1:5" x14ac:dyDescent="0.3">
      <c r="A50" s="5">
        <v>49</v>
      </c>
      <c r="B50" s="5" t="s">
        <v>265</v>
      </c>
      <c r="C50" s="5" t="s">
        <v>411</v>
      </c>
      <c r="D50" s="6" t="s">
        <v>412</v>
      </c>
      <c r="E50" s="4">
        <f t="shared" si="0"/>
        <v>31200</v>
      </c>
    </row>
    <row r="51" spans="1:5" x14ac:dyDescent="0.3">
      <c r="A51" s="5">
        <v>50</v>
      </c>
      <c r="B51" s="5" t="s">
        <v>265</v>
      </c>
      <c r="C51" s="5" t="s">
        <v>413</v>
      </c>
      <c r="D51" s="6" t="s">
        <v>414</v>
      </c>
      <c r="E51" s="4">
        <f t="shared" si="0"/>
        <v>34200</v>
      </c>
    </row>
    <row r="52" spans="1:5" x14ac:dyDescent="0.3">
      <c r="A52" s="5">
        <v>51</v>
      </c>
      <c r="B52" s="5" t="s">
        <v>278</v>
      </c>
      <c r="C52" s="5" t="s">
        <v>415</v>
      </c>
      <c r="D52" s="6" t="s">
        <v>416</v>
      </c>
      <c r="E52" s="4">
        <f t="shared" si="0"/>
        <v>9900</v>
      </c>
    </row>
    <row r="53" spans="1:5" x14ac:dyDescent="0.3">
      <c r="A53" s="5">
        <v>52</v>
      </c>
      <c r="B53" s="5" t="s">
        <v>278</v>
      </c>
      <c r="C53" s="5" t="s">
        <v>417</v>
      </c>
      <c r="D53" s="6" t="s">
        <v>418</v>
      </c>
      <c r="E53" s="4">
        <f t="shared" si="0"/>
        <v>16200</v>
      </c>
    </row>
    <row r="54" spans="1:5" x14ac:dyDescent="0.3">
      <c r="A54" s="5">
        <v>53</v>
      </c>
      <c r="B54" s="5" t="s">
        <v>278</v>
      </c>
      <c r="C54" s="5" t="s">
        <v>419</v>
      </c>
      <c r="D54" s="6" t="s">
        <v>420</v>
      </c>
      <c r="E54" s="4">
        <f t="shared" si="0"/>
        <v>18400</v>
      </c>
    </row>
    <row r="55" spans="1:5" x14ac:dyDescent="0.3">
      <c r="A55" s="5">
        <v>54</v>
      </c>
      <c r="B55" s="5" t="s">
        <v>291</v>
      </c>
      <c r="C55" s="5" t="s">
        <v>421</v>
      </c>
      <c r="D55" s="6" t="s">
        <v>422</v>
      </c>
      <c r="E55" s="4">
        <f t="shared" si="0"/>
        <v>22140</v>
      </c>
    </row>
    <row r="56" spans="1:5" x14ac:dyDescent="0.3">
      <c r="A56" s="5">
        <v>55</v>
      </c>
      <c r="B56" s="5" t="s">
        <v>291</v>
      </c>
      <c r="C56" s="5" t="s">
        <v>423</v>
      </c>
      <c r="D56" s="6" t="s">
        <v>424</v>
      </c>
      <c r="E56" s="4">
        <f t="shared" si="0"/>
        <v>14760</v>
      </c>
    </row>
    <row r="57" spans="1:5" x14ac:dyDescent="0.3">
      <c r="A57" s="5">
        <v>56</v>
      </c>
      <c r="B57" s="5" t="s">
        <v>302</v>
      </c>
      <c r="C57" s="5" t="s">
        <v>425</v>
      </c>
      <c r="D57" s="6" t="s">
        <v>426</v>
      </c>
      <c r="E57" s="4">
        <f t="shared" si="0"/>
        <v>22410</v>
      </c>
    </row>
    <row r="58" spans="1:5" x14ac:dyDescent="0.3">
      <c r="A58" s="5">
        <v>57</v>
      </c>
      <c r="B58" s="5" t="s">
        <v>302</v>
      </c>
      <c r="C58" s="5" t="s">
        <v>427</v>
      </c>
      <c r="D58" s="6" t="s">
        <v>428</v>
      </c>
      <c r="E58" s="4">
        <f t="shared" si="0"/>
        <v>20080</v>
      </c>
    </row>
  </sheetData>
  <phoneticPr fontId="1" type="noConversion"/>
  <conditionalFormatting sqref="A1:E1048576">
    <cfRule type="expression" dxfId="2" priority="1">
      <formula>$A1&lt;&gt;""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5</xdr:col>
                <xdr:colOff>180975</xdr:colOff>
                <xdr:row>0</xdr:row>
                <xdr:rowOff>104775</xdr:rowOff>
              </from>
              <to>
                <xdr:col>7</xdr:col>
                <xdr:colOff>438150</xdr:colOff>
                <xdr:row>2</xdr:row>
                <xdr:rowOff>171450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K290"/>
  <sheetViews>
    <sheetView showGridLines="0" workbookViewId="0">
      <selection activeCell="A42" sqref="A42"/>
    </sheetView>
  </sheetViews>
  <sheetFormatPr defaultRowHeight="16.5" x14ac:dyDescent="0.3"/>
  <cols>
    <col min="1" max="2" width="9" style="1"/>
    <col min="3" max="3" width="11" style="1" bestFit="1" customWidth="1"/>
    <col min="4" max="4" width="11.125" style="2" bestFit="1" customWidth="1"/>
    <col min="5" max="7" width="9" style="1"/>
    <col min="8" max="8" width="10.5" style="4" bestFit="1" customWidth="1"/>
    <col min="9" max="10" width="12.625" style="4" bestFit="1" customWidth="1"/>
    <col min="11" max="11" width="12.375" style="4" customWidth="1"/>
    <col min="12" max="16384" width="9" style="1"/>
  </cols>
  <sheetData>
    <row r="1" spans="1:11" x14ac:dyDescent="0.3">
      <c r="A1" s="8" t="s">
        <v>0</v>
      </c>
      <c r="B1" s="8" t="s">
        <v>429</v>
      </c>
      <c r="C1" s="8" t="s">
        <v>430</v>
      </c>
      <c r="D1" s="10" t="s">
        <v>431</v>
      </c>
      <c r="E1" s="8" t="s">
        <v>432</v>
      </c>
      <c r="F1" s="8" t="s">
        <v>433</v>
      </c>
      <c r="G1" s="8" t="s">
        <v>434</v>
      </c>
      <c r="H1" s="9" t="s">
        <v>626</v>
      </c>
      <c r="I1" s="9" t="s">
        <v>628</v>
      </c>
      <c r="J1" s="9" t="s">
        <v>630</v>
      </c>
      <c r="K1" s="9" t="s">
        <v>632</v>
      </c>
    </row>
    <row r="2" spans="1:11" x14ac:dyDescent="0.3">
      <c r="A2" s="1">
        <v>1</v>
      </c>
      <c r="B2" s="1">
        <v>6</v>
      </c>
      <c r="C2" s="1">
        <v>43</v>
      </c>
      <c r="D2" s="2">
        <v>44562</v>
      </c>
      <c r="E2" s="1">
        <v>3</v>
      </c>
      <c r="F2" s="1">
        <v>2</v>
      </c>
      <c r="G2" s="1">
        <v>1</v>
      </c>
      <c r="H2" s="4">
        <f t="shared" ref="H2:H65" ca="1" si="0">VLOOKUP(C2,패키지,5,0)*E2</f>
        <v>64800</v>
      </c>
      <c r="I2" s="4">
        <f t="shared" ref="I2:I65" ca="1" si="1">VLOOKUP(C2,패키지,5,0)*0.8*F2</f>
        <v>34560</v>
      </c>
      <c r="J2" s="4">
        <f t="shared" ref="J2:J65" ca="1" si="2">VLOOKUP(C2,패키지,5,0)*0.6*G2</f>
        <v>12960</v>
      </c>
      <c r="K2" s="4">
        <f ca="1">SUM(J2,I2,H2)</f>
        <v>112320</v>
      </c>
    </row>
    <row r="3" spans="1:11" x14ac:dyDescent="0.3">
      <c r="A3" s="1">
        <v>2</v>
      </c>
      <c r="B3" s="1">
        <v>13</v>
      </c>
      <c r="C3" s="1">
        <v>32</v>
      </c>
      <c r="D3" s="2">
        <v>44562</v>
      </c>
      <c r="E3" s="1">
        <v>1</v>
      </c>
      <c r="F3" s="1">
        <v>3</v>
      </c>
      <c r="G3" s="1">
        <v>3</v>
      </c>
      <c r="H3" s="4">
        <f t="shared" ca="1" si="0"/>
        <v>25500</v>
      </c>
      <c r="I3" s="4">
        <f t="shared" ca="1" si="1"/>
        <v>61200</v>
      </c>
      <c r="J3" s="4">
        <f t="shared" ca="1" si="2"/>
        <v>45900</v>
      </c>
      <c r="K3" s="4">
        <f t="shared" ref="K3:K66" ca="1" si="3">SUM(J3,I3,H3)</f>
        <v>132600</v>
      </c>
    </row>
    <row r="4" spans="1:11" x14ac:dyDescent="0.3">
      <c r="A4" s="1">
        <v>3</v>
      </c>
      <c r="B4" s="1">
        <v>10</v>
      </c>
      <c r="C4" s="1">
        <v>12</v>
      </c>
      <c r="D4" s="2">
        <v>44563</v>
      </c>
      <c r="E4" s="1">
        <v>5</v>
      </c>
      <c r="F4" s="1">
        <v>2</v>
      </c>
      <c r="G4" s="1">
        <v>1</v>
      </c>
      <c r="H4" s="4">
        <f t="shared" ca="1" si="0"/>
        <v>67500</v>
      </c>
      <c r="I4" s="4">
        <f t="shared" ca="1" si="1"/>
        <v>21600</v>
      </c>
      <c r="J4" s="4">
        <f t="shared" ca="1" si="2"/>
        <v>8100</v>
      </c>
      <c r="K4" s="4">
        <f t="shared" ca="1" si="3"/>
        <v>97200</v>
      </c>
    </row>
    <row r="5" spans="1:11" x14ac:dyDescent="0.3">
      <c r="A5" s="1">
        <v>4</v>
      </c>
      <c r="B5" s="1">
        <v>6</v>
      </c>
      <c r="C5" s="1">
        <v>35</v>
      </c>
      <c r="D5" s="2">
        <v>44563</v>
      </c>
      <c r="E5" s="1">
        <v>2</v>
      </c>
      <c r="F5" s="1">
        <v>5</v>
      </c>
      <c r="G5" s="1">
        <v>5</v>
      </c>
      <c r="H5" s="4">
        <f t="shared" ca="1" si="0"/>
        <v>55800</v>
      </c>
      <c r="I5" s="4">
        <f t="shared" ca="1" si="1"/>
        <v>111600</v>
      </c>
      <c r="J5" s="4">
        <f t="shared" ca="1" si="2"/>
        <v>83700</v>
      </c>
      <c r="K5" s="4">
        <f t="shared" ca="1" si="3"/>
        <v>251100</v>
      </c>
    </row>
    <row r="6" spans="1:11" x14ac:dyDescent="0.3">
      <c r="A6" s="1">
        <v>5</v>
      </c>
      <c r="B6" s="1">
        <v>12</v>
      </c>
      <c r="C6" s="1">
        <v>11</v>
      </c>
      <c r="D6" s="2">
        <v>44564</v>
      </c>
      <c r="E6" s="1">
        <v>5</v>
      </c>
      <c r="F6" s="1">
        <v>0</v>
      </c>
      <c r="G6" s="1">
        <v>3</v>
      </c>
      <c r="H6" s="4">
        <f t="shared" ca="1" si="0"/>
        <v>108000</v>
      </c>
      <c r="I6" s="4">
        <f t="shared" ca="1" si="1"/>
        <v>0</v>
      </c>
      <c r="J6" s="4">
        <f t="shared" ca="1" si="2"/>
        <v>38880</v>
      </c>
      <c r="K6" s="4">
        <f t="shared" ca="1" si="3"/>
        <v>146880</v>
      </c>
    </row>
    <row r="7" spans="1:11" x14ac:dyDescent="0.3">
      <c r="A7" s="1">
        <v>6</v>
      </c>
      <c r="B7" s="1">
        <v>2</v>
      </c>
      <c r="C7" s="1">
        <v>41</v>
      </c>
      <c r="D7" s="2">
        <v>44565</v>
      </c>
      <c r="E7" s="1">
        <v>2</v>
      </c>
      <c r="F7" s="1">
        <v>4</v>
      </c>
      <c r="G7" s="1">
        <v>4</v>
      </c>
      <c r="H7" s="4">
        <f t="shared" ca="1" si="0"/>
        <v>67200</v>
      </c>
      <c r="I7" s="4">
        <f t="shared" ca="1" si="1"/>
        <v>107520</v>
      </c>
      <c r="J7" s="4">
        <f t="shared" ca="1" si="2"/>
        <v>80640</v>
      </c>
      <c r="K7" s="4">
        <f t="shared" ca="1" si="3"/>
        <v>255360</v>
      </c>
    </row>
    <row r="8" spans="1:11" x14ac:dyDescent="0.3">
      <c r="A8" s="1">
        <v>7</v>
      </c>
      <c r="B8" s="1">
        <v>25</v>
      </c>
      <c r="C8" s="1">
        <v>53</v>
      </c>
      <c r="D8" s="2">
        <v>44565</v>
      </c>
      <c r="E8" s="1">
        <v>1</v>
      </c>
      <c r="F8" s="1">
        <v>2</v>
      </c>
      <c r="G8" s="1">
        <v>1</v>
      </c>
      <c r="H8" s="4">
        <f t="shared" ca="1" si="0"/>
        <v>18400</v>
      </c>
      <c r="I8" s="4">
        <f t="shared" ca="1" si="1"/>
        <v>29440</v>
      </c>
      <c r="J8" s="4">
        <f t="shared" ca="1" si="2"/>
        <v>11040</v>
      </c>
      <c r="K8" s="4">
        <f t="shared" ca="1" si="3"/>
        <v>58880</v>
      </c>
    </row>
    <row r="9" spans="1:11" x14ac:dyDescent="0.3">
      <c r="A9" s="1">
        <v>8</v>
      </c>
      <c r="B9" s="1">
        <v>1</v>
      </c>
      <c r="C9" s="1">
        <v>23</v>
      </c>
      <c r="D9" s="2">
        <v>44565</v>
      </c>
      <c r="E9" s="1">
        <v>2</v>
      </c>
      <c r="F9" s="1">
        <v>5</v>
      </c>
      <c r="G9" s="1">
        <v>1</v>
      </c>
      <c r="H9" s="4">
        <f t="shared" ca="1" si="0"/>
        <v>12600</v>
      </c>
      <c r="I9" s="4">
        <f t="shared" ca="1" si="1"/>
        <v>25200</v>
      </c>
      <c r="J9" s="4">
        <f t="shared" ca="1" si="2"/>
        <v>3780</v>
      </c>
      <c r="K9" s="4">
        <f t="shared" ca="1" si="3"/>
        <v>41580</v>
      </c>
    </row>
    <row r="10" spans="1:11" x14ac:dyDescent="0.3">
      <c r="A10" s="1">
        <v>9</v>
      </c>
      <c r="B10" s="1">
        <v>9</v>
      </c>
      <c r="C10" s="1">
        <v>30</v>
      </c>
      <c r="D10" s="2">
        <v>44565</v>
      </c>
      <c r="E10" s="1">
        <v>5</v>
      </c>
      <c r="F10" s="1">
        <v>5</v>
      </c>
      <c r="G10" s="1">
        <v>0</v>
      </c>
      <c r="H10" s="4">
        <f t="shared" ca="1" si="0"/>
        <v>84000</v>
      </c>
      <c r="I10" s="4">
        <f t="shared" ca="1" si="1"/>
        <v>67200</v>
      </c>
      <c r="J10" s="4">
        <f t="shared" ca="1" si="2"/>
        <v>0</v>
      </c>
      <c r="K10" s="4">
        <f t="shared" ca="1" si="3"/>
        <v>151200</v>
      </c>
    </row>
    <row r="11" spans="1:11" x14ac:dyDescent="0.3">
      <c r="A11" s="1">
        <v>10</v>
      </c>
      <c r="B11" s="1">
        <v>10</v>
      </c>
      <c r="C11" s="1">
        <v>45</v>
      </c>
      <c r="D11" s="2">
        <v>44566</v>
      </c>
      <c r="E11" s="1">
        <v>5</v>
      </c>
      <c r="F11" s="1">
        <v>5</v>
      </c>
      <c r="G11" s="1">
        <v>2</v>
      </c>
      <c r="H11" s="4">
        <f t="shared" ca="1" si="0"/>
        <v>99000</v>
      </c>
      <c r="I11" s="4">
        <f t="shared" ca="1" si="1"/>
        <v>79200</v>
      </c>
      <c r="J11" s="4">
        <f t="shared" ca="1" si="2"/>
        <v>23760</v>
      </c>
      <c r="K11" s="4">
        <f t="shared" ca="1" si="3"/>
        <v>201960</v>
      </c>
    </row>
    <row r="12" spans="1:11" x14ac:dyDescent="0.3">
      <c r="A12" s="1">
        <v>11</v>
      </c>
      <c r="B12" s="1">
        <v>17</v>
      </c>
      <c r="C12" s="1">
        <v>34</v>
      </c>
      <c r="D12" s="2">
        <v>44566</v>
      </c>
      <c r="E12" s="1">
        <v>1</v>
      </c>
      <c r="F12" s="1">
        <v>1</v>
      </c>
      <c r="G12" s="1">
        <v>4</v>
      </c>
      <c r="H12" s="4">
        <f t="shared" ca="1" si="0"/>
        <v>26800</v>
      </c>
      <c r="I12" s="4">
        <f t="shared" ca="1" si="1"/>
        <v>21440</v>
      </c>
      <c r="J12" s="4">
        <f t="shared" ca="1" si="2"/>
        <v>64320</v>
      </c>
      <c r="K12" s="4">
        <f t="shared" ca="1" si="3"/>
        <v>112560</v>
      </c>
    </row>
    <row r="13" spans="1:11" x14ac:dyDescent="0.3">
      <c r="A13" s="1">
        <v>12</v>
      </c>
      <c r="B13" s="1">
        <v>12</v>
      </c>
      <c r="C13" s="1">
        <v>4</v>
      </c>
      <c r="D13" s="2">
        <v>44566</v>
      </c>
      <c r="E13" s="1">
        <v>0</v>
      </c>
      <c r="F13" s="1">
        <v>1</v>
      </c>
      <c r="G13" s="1">
        <v>2</v>
      </c>
      <c r="H13" s="4">
        <f t="shared" ca="1" si="0"/>
        <v>0</v>
      </c>
      <c r="I13" s="4">
        <f t="shared" ca="1" si="1"/>
        <v>25296</v>
      </c>
      <c r="J13" s="4">
        <f t="shared" ca="1" si="2"/>
        <v>37944</v>
      </c>
      <c r="K13" s="4">
        <f t="shared" ca="1" si="3"/>
        <v>63240</v>
      </c>
    </row>
    <row r="14" spans="1:11" x14ac:dyDescent="0.3">
      <c r="A14" s="1">
        <v>13</v>
      </c>
      <c r="B14" s="1">
        <v>1</v>
      </c>
      <c r="C14" s="1">
        <v>25</v>
      </c>
      <c r="D14" s="2">
        <v>44567</v>
      </c>
      <c r="E14" s="1">
        <v>0</v>
      </c>
      <c r="F14" s="1">
        <v>1</v>
      </c>
      <c r="G14" s="1">
        <v>2</v>
      </c>
      <c r="H14" s="4">
        <f t="shared" ca="1" si="0"/>
        <v>0</v>
      </c>
      <c r="I14" s="4">
        <f t="shared" ca="1" si="1"/>
        <v>21600</v>
      </c>
      <c r="J14" s="4">
        <f t="shared" ca="1" si="2"/>
        <v>32400</v>
      </c>
      <c r="K14" s="4">
        <f t="shared" ca="1" si="3"/>
        <v>54000</v>
      </c>
    </row>
    <row r="15" spans="1:11" x14ac:dyDescent="0.3">
      <c r="A15" s="1">
        <v>14</v>
      </c>
      <c r="B15" s="1">
        <v>7</v>
      </c>
      <c r="C15" s="1">
        <v>37</v>
      </c>
      <c r="D15" s="2">
        <v>44567</v>
      </c>
      <c r="E15" s="1">
        <v>1</v>
      </c>
      <c r="F15" s="1">
        <v>5</v>
      </c>
      <c r="G15" s="1">
        <v>5</v>
      </c>
      <c r="H15" s="4">
        <f t="shared" ca="1" si="0"/>
        <v>12600</v>
      </c>
      <c r="I15" s="4">
        <f t="shared" ca="1" si="1"/>
        <v>50400</v>
      </c>
      <c r="J15" s="4">
        <f t="shared" ca="1" si="2"/>
        <v>37800</v>
      </c>
      <c r="K15" s="4">
        <f t="shared" ca="1" si="3"/>
        <v>100800</v>
      </c>
    </row>
    <row r="16" spans="1:11" x14ac:dyDescent="0.3">
      <c r="A16" s="1">
        <v>15</v>
      </c>
      <c r="B16" s="1">
        <v>9</v>
      </c>
      <c r="C16" s="1">
        <v>9</v>
      </c>
      <c r="D16" s="2">
        <v>44567</v>
      </c>
      <c r="E16" s="1">
        <v>0</v>
      </c>
      <c r="F16" s="1">
        <v>4</v>
      </c>
      <c r="G16" s="1">
        <v>3</v>
      </c>
      <c r="H16" s="4">
        <f t="shared" ca="1" si="0"/>
        <v>0</v>
      </c>
      <c r="I16" s="4">
        <f t="shared" ca="1" si="1"/>
        <v>99840</v>
      </c>
      <c r="J16" s="4">
        <f t="shared" ca="1" si="2"/>
        <v>56160</v>
      </c>
      <c r="K16" s="4">
        <f t="shared" ca="1" si="3"/>
        <v>156000</v>
      </c>
    </row>
    <row r="17" spans="1:11" x14ac:dyDescent="0.3">
      <c r="A17" s="1">
        <v>16</v>
      </c>
      <c r="B17" s="1">
        <v>3</v>
      </c>
      <c r="C17" s="1">
        <v>57</v>
      </c>
      <c r="D17" s="2">
        <v>44568</v>
      </c>
      <c r="E17" s="1">
        <v>4</v>
      </c>
      <c r="F17" s="1">
        <v>1</v>
      </c>
      <c r="G17" s="1">
        <v>0</v>
      </c>
      <c r="H17" s="4">
        <f t="shared" ca="1" si="0"/>
        <v>80320</v>
      </c>
      <c r="I17" s="4">
        <f t="shared" ca="1" si="1"/>
        <v>16064</v>
      </c>
      <c r="J17" s="4">
        <f t="shared" ca="1" si="2"/>
        <v>0</v>
      </c>
      <c r="K17" s="4">
        <f t="shared" ca="1" si="3"/>
        <v>96384</v>
      </c>
    </row>
    <row r="18" spans="1:11" x14ac:dyDescent="0.3">
      <c r="A18" s="1">
        <v>17</v>
      </c>
      <c r="B18" s="1">
        <v>15</v>
      </c>
      <c r="C18" s="1">
        <v>22</v>
      </c>
      <c r="D18" s="2">
        <v>44568</v>
      </c>
      <c r="E18" s="1">
        <v>1</v>
      </c>
      <c r="F18" s="1">
        <v>0</v>
      </c>
      <c r="G18" s="1">
        <v>0</v>
      </c>
      <c r="H18" s="4">
        <f t="shared" ca="1" si="0"/>
        <v>12600</v>
      </c>
      <c r="I18" s="4">
        <f t="shared" ca="1" si="1"/>
        <v>0</v>
      </c>
      <c r="J18" s="4">
        <f t="shared" ca="1" si="2"/>
        <v>0</v>
      </c>
      <c r="K18" s="4">
        <f t="shared" ca="1" si="3"/>
        <v>12600</v>
      </c>
    </row>
    <row r="19" spans="1:11" x14ac:dyDescent="0.3">
      <c r="A19" s="1">
        <v>18</v>
      </c>
      <c r="B19" s="1">
        <v>22</v>
      </c>
      <c r="C19" s="1">
        <v>9</v>
      </c>
      <c r="D19" s="2">
        <v>44568</v>
      </c>
      <c r="E19" s="1">
        <v>1</v>
      </c>
      <c r="F19" s="1">
        <v>5</v>
      </c>
      <c r="G19" s="1">
        <v>5</v>
      </c>
      <c r="H19" s="4">
        <f t="shared" ca="1" si="0"/>
        <v>31200</v>
      </c>
      <c r="I19" s="4">
        <f t="shared" ca="1" si="1"/>
        <v>124800</v>
      </c>
      <c r="J19" s="4">
        <f t="shared" ca="1" si="2"/>
        <v>93600</v>
      </c>
      <c r="K19" s="4">
        <f t="shared" ca="1" si="3"/>
        <v>249600</v>
      </c>
    </row>
    <row r="20" spans="1:11" x14ac:dyDescent="0.3">
      <c r="A20" s="1">
        <v>19</v>
      </c>
      <c r="B20" s="1">
        <v>2</v>
      </c>
      <c r="C20" s="1">
        <v>32</v>
      </c>
      <c r="D20" s="2">
        <v>44568</v>
      </c>
      <c r="E20" s="1">
        <v>0</v>
      </c>
      <c r="F20" s="1">
        <v>0</v>
      </c>
      <c r="G20" s="1">
        <v>1</v>
      </c>
      <c r="H20" s="4">
        <f t="shared" ca="1" si="0"/>
        <v>0</v>
      </c>
      <c r="I20" s="4">
        <f t="shared" ca="1" si="1"/>
        <v>0</v>
      </c>
      <c r="J20" s="4">
        <f t="shared" ca="1" si="2"/>
        <v>15300</v>
      </c>
      <c r="K20" s="4">
        <f t="shared" ca="1" si="3"/>
        <v>15300</v>
      </c>
    </row>
    <row r="21" spans="1:11" x14ac:dyDescent="0.3">
      <c r="A21" s="1">
        <v>20</v>
      </c>
      <c r="B21" s="1">
        <v>14</v>
      </c>
      <c r="C21" s="1">
        <v>18</v>
      </c>
      <c r="D21" s="2">
        <v>44569</v>
      </c>
      <c r="E21" s="1">
        <v>3</v>
      </c>
      <c r="F21" s="1">
        <v>5</v>
      </c>
      <c r="G21" s="1">
        <v>2</v>
      </c>
      <c r="H21" s="4">
        <f t="shared" ca="1" si="0"/>
        <v>78300</v>
      </c>
      <c r="I21" s="4">
        <f t="shared" ca="1" si="1"/>
        <v>104400</v>
      </c>
      <c r="J21" s="4">
        <f t="shared" ca="1" si="2"/>
        <v>31320</v>
      </c>
      <c r="K21" s="4">
        <f t="shared" ca="1" si="3"/>
        <v>214020</v>
      </c>
    </row>
    <row r="22" spans="1:11" x14ac:dyDescent="0.3">
      <c r="A22" s="1">
        <v>21</v>
      </c>
      <c r="B22" s="1">
        <v>8</v>
      </c>
      <c r="C22" s="1">
        <v>27</v>
      </c>
      <c r="D22" s="2">
        <v>44571</v>
      </c>
      <c r="E22" s="1">
        <v>5</v>
      </c>
      <c r="F22" s="1">
        <v>0</v>
      </c>
      <c r="G22" s="1">
        <v>2</v>
      </c>
      <c r="H22" s="4">
        <f t="shared" ca="1" si="0"/>
        <v>78000</v>
      </c>
      <c r="I22" s="4">
        <f t="shared" ca="1" si="1"/>
        <v>0</v>
      </c>
      <c r="J22" s="4">
        <f t="shared" ca="1" si="2"/>
        <v>18720</v>
      </c>
      <c r="K22" s="4">
        <f t="shared" ca="1" si="3"/>
        <v>96720</v>
      </c>
    </row>
    <row r="23" spans="1:11" x14ac:dyDescent="0.3">
      <c r="A23" s="1">
        <v>22</v>
      </c>
      <c r="B23" s="1">
        <v>10</v>
      </c>
      <c r="C23" s="1">
        <v>8</v>
      </c>
      <c r="D23" s="2">
        <v>44571</v>
      </c>
      <c r="E23" s="1">
        <v>1</v>
      </c>
      <c r="F23" s="1">
        <v>5</v>
      </c>
      <c r="G23" s="1">
        <v>5</v>
      </c>
      <c r="H23" s="4">
        <f t="shared" ca="1" si="0"/>
        <v>21920</v>
      </c>
      <c r="I23" s="4">
        <f t="shared" ca="1" si="1"/>
        <v>87680</v>
      </c>
      <c r="J23" s="4">
        <f t="shared" ca="1" si="2"/>
        <v>65760</v>
      </c>
      <c r="K23" s="4">
        <f t="shared" ca="1" si="3"/>
        <v>175360</v>
      </c>
    </row>
    <row r="24" spans="1:11" x14ac:dyDescent="0.3">
      <c r="A24" s="1">
        <v>23</v>
      </c>
      <c r="B24" s="1">
        <v>21</v>
      </c>
      <c r="C24" s="1">
        <v>42</v>
      </c>
      <c r="D24" s="2">
        <v>44571</v>
      </c>
      <c r="E24" s="1">
        <v>3</v>
      </c>
      <c r="F24" s="1">
        <v>5</v>
      </c>
      <c r="G24" s="1">
        <v>0</v>
      </c>
      <c r="H24" s="4">
        <f t="shared" ca="1" si="0"/>
        <v>21600</v>
      </c>
      <c r="I24" s="4">
        <f t="shared" ca="1" si="1"/>
        <v>28800</v>
      </c>
      <c r="J24" s="4">
        <f t="shared" ca="1" si="2"/>
        <v>0</v>
      </c>
      <c r="K24" s="4">
        <f t="shared" ca="1" si="3"/>
        <v>50400</v>
      </c>
    </row>
    <row r="25" spans="1:11" x14ac:dyDescent="0.3">
      <c r="A25" s="1">
        <v>24</v>
      </c>
      <c r="B25" s="1">
        <v>12</v>
      </c>
      <c r="C25" s="1">
        <v>30</v>
      </c>
      <c r="D25" s="2">
        <v>44571</v>
      </c>
      <c r="E25" s="1">
        <v>1</v>
      </c>
      <c r="F25" s="1">
        <v>2</v>
      </c>
      <c r="G25" s="1">
        <v>1</v>
      </c>
      <c r="H25" s="4">
        <f t="shared" ca="1" si="0"/>
        <v>16800</v>
      </c>
      <c r="I25" s="4">
        <f t="shared" ca="1" si="1"/>
        <v>26880</v>
      </c>
      <c r="J25" s="4">
        <f t="shared" ca="1" si="2"/>
        <v>10080</v>
      </c>
      <c r="K25" s="4">
        <f t="shared" ca="1" si="3"/>
        <v>53760</v>
      </c>
    </row>
    <row r="26" spans="1:11" x14ac:dyDescent="0.3">
      <c r="A26" s="1">
        <v>25</v>
      </c>
      <c r="B26" s="1">
        <v>8</v>
      </c>
      <c r="C26" s="1">
        <v>17</v>
      </c>
      <c r="D26" s="2">
        <v>44572</v>
      </c>
      <c r="E26" s="1">
        <v>2</v>
      </c>
      <c r="F26" s="1">
        <v>4</v>
      </c>
      <c r="G26" s="1">
        <v>2</v>
      </c>
      <c r="H26" s="4">
        <f t="shared" ca="1" si="0"/>
        <v>50400</v>
      </c>
      <c r="I26" s="4">
        <f t="shared" ca="1" si="1"/>
        <v>80640</v>
      </c>
      <c r="J26" s="4">
        <f t="shared" ca="1" si="2"/>
        <v>30240</v>
      </c>
      <c r="K26" s="4">
        <f t="shared" ca="1" si="3"/>
        <v>161280</v>
      </c>
    </row>
    <row r="27" spans="1:11" x14ac:dyDescent="0.3">
      <c r="A27" s="1">
        <v>26</v>
      </c>
      <c r="B27" s="1">
        <v>16</v>
      </c>
      <c r="C27" s="1">
        <v>15</v>
      </c>
      <c r="D27" s="2">
        <v>44572</v>
      </c>
      <c r="E27" s="1">
        <v>1</v>
      </c>
      <c r="F27" s="1">
        <v>2</v>
      </c>
      <c r="G27" s="1">
        <v>1</v>
      </c>
      <c r="H27" s="4">
        <f t="shared" ca="1" si="0"/>
        <v>18900</v>
      </c>
      <c r="I27" s="4">
        <f t="shared" ca="1" si="1"/>
        <v>30240</v>
      </c>
      <c r="J27" s="4">
        <f t="shared" ca="1" si="2"/>
        <v>11340</v>
      </c>
      <c r="K27" s="4">
        <f t="shared" ca="1" si="3"/>
        <v>60480</v>
      </c>
    </row>
    <row r="28" spans="1:11" x14ac:dyDescent="0.3">
      <c r="A28" s="1">
        <v>27</v>
      </c>
      <c r="B28" s="1">
        <v>19</v>
      </c>
      <c r="C28" s="1">
        <v>16</v>
      </c>
      <c r="D28" s="2">
        <v>44572</v>
      </c>
      <c r="E28" s="1">
        <v>2</v>
      </c>
      <c r="F28" s="1">
        <v>4</v>
      </c>
      <c r="G28" s="1">
        <v>4</v>
      </c>
      <c r="H28" s="4">
        <f t="shared" ca="1" si="0"/>
        <v>62400</v>
      </c>
      <c r="I28" s="4">
        <f t="shared" ca="1" si="1"/>
        <v>99840</v>
      </c>
      <c r="J28" s="4">
        <f t="shared" ca="1" si="2"/>
        <v>74880</v>
      </c>
      <c r="K28" s="4">
        <f t="shared" ca="1" si="3"/>
        <v>237120</v>
      </c>
    </row>
    <row r="29" spans="1:11" x14ac:dyDescent="0.3">
      <c r="A29" s="1">
        <v>28</v>
      </c>
      <c r="B29" s="1">
        <v>23</v>
      </c>
      <c r="C29" s="1">
        <v>9</v>
      </c>
      <c r="D29" s="2">
        <v>44573</v>
      </c>
      <c r="E29" s="1">
        <v>1</v>
      </c>
      <c r="F29" s="1">
        <v>2</v>
      </c>
      <c r="G29" s="1">
        <v>5</v>
      </c>
      <c r="H29" s="4">
        <f t="shared" ca="1" si="0"/>
        <v>31200</v>
      </c>
      <c r="I29" s="4">
        <f t="shared" ca="1" si="1"/>
        <v>49920</v>
      </c>
      <c r="J29" s="4">
        <f t="shared" ca="1" si="2"/>
        <v>93600</v>
      </c>
      <c r="K29" s="4">
        <f t="shared" ca="1" si="3"/>
        <v>174720</v>
      </c>
    </row>
    <row r="30" spans="1:11" x14ac:dyDescent="0.3">
      <c r="A30" s="1">
        <v>29</v>
      </c>
      <c r="B30" s="1">
        <v>3</v>
      </c>
      <c r="C30" s="1">
        <v>15</v>
      </c>
      <c r="D30" s="2">
        <v>44574</v>
      </c>
      <c r="E30" s="1">
        <v>0</v>
      </c>
      <c r="F30" s="1">
        <v>4</v>
      </c>
      <c r="G30" s="1">
        <v>3</v>
      </c>
      <c r="H30" s="4">
        <f t="shared" ca="1" si="0"/>
        <v>0</v>
      </c>
      <c r="I30" s="4">
        <f t="shared" ca="1" si="1"/>
        <v>60480</v>
      </c>
      <c r="J30" s="4">
        <f t="shared" ca="1" si="2"/>
        <v>34020</v>
      </c>
      <c r="K30" s="4">
        <f t="shared" ca="1" si="3"/>
        <v>94500</v>
      </c>
    </row>
    <row r="31" spans="1:11" x14ac:dyDescent="0.3">
      <c r="A31" s="1">
        <v>30</v>
      </c>
      <c r="B31" s="1">
        <v>24</v>
      </c>
      <c r="C31" s="1">
        <v>12</v>
      </c>
      <c r="D31" s="2">
        <v>44574</v>
      </c>
      <c r="E31" s="1">
        <v>2</v>
      </c>
      <c r="F31" s="1">
        <v>0</v>
      </c>
      <c r="G31" s="1">
        <v>3</v>
      </c>
      <c r="H31" s="4">
        <f t="shared" ca="1" si="0"/>
        <v>27000</v>
      </c>
      <c r="I31" s="4">
        <f t="shared" ca="1" si="1"/>
        <v>0</v>
      </c>
      <c r="J31" s="4">
        <f t="shared" ca="1" si="2"/>
        <v>24300</v>
      </c>
      <c r="K31" s="4">
        <f t="shared" ca="1" si="3"/>
        <v>51300</v>
      </c>
    </row>
    <row r="32" spans="1:11" x14ac:dyDescent="0.3">
      <c r="A32" s="1">
        <v>31</v>
      </c>
      <c r="B32" s="1">
        <v>17</v>
      </c>
      <c r="C32" s="1">
        <v>37</v>
      </c>
      <c r="D32" s="2">
        <v>44575</v>
      </c>
      <c r="E32" s="1">
        <v>3</v>
      </c>
      <c r="F32" s="1">
        <v>0</v>
      </c>
      <c r="G32" s="1">
        <v>4</v>
      </c>
      <c r="H32" s="4">
        <f t="shared" ca="1" si="0"/>
        <v>37800</v>
      </c>
      <c r="I32" s="4">
        <f t="shared" ca="1" si="1"/>
        <v>0</v>
      </c>
      <c r="J32" s="4">
        <f t="shared" ca="1" si="2"/>
        <v>30240</v>
      </c>
      <c r="K32" s="4">
        <f t="shared" ca="1" si="3"/>
        <v>68040</v>
      </c>
    </row>
    <row r="33" spans="1:11" x14ac:dyDescent="0.3">
      <c r="A33" s="1">
        <v>32</v>
      </c>
      <c r="B33" s="1">
        <v>10</v>
      </c>
      <c r="C33" s="1">
        <v>7</v>
      </c>
      <c r="D33" s="2">
        <v>44575</v>
      </c>
      <c r="E33" s="1">
        <v>2</v>
      </c>
      <c r="F33" s="1">
        <v>4</v>
      </c>
      <c r="G33" s="1">
        <v>3</v>
      </c>
      <c r="H33" s="4">
        <f t="shared" ca="1" si="0"/>
        <v>52160</v>
      </c>
      <c r="I33" s="4">
        <f t="shared" ca="1" si="1"/>
        <v>83456</v>
      </c>
      <c r="J33" s="4">
        <f t="shared" ca="1" si="2"/>
        <v>46944</v>
      </c>
      <c r="K33" s="4">
        <f t="shared" ca="1" si="3"/>
        <v>182560</v>
      </c>
    </row>
    <row r="34" spans="1:11" x14ac:dyDescent="0.3">
      <c r="A34" s="1">
        <v>33</v>
      </c>
      <c r="B34" s="1">
        <v>25</v>
      </c>
      <c r="C34" s="1">
        <v>42</v>
      </c>
      <c r="D34" s="2">
        <v>44575</v>
      </c>
      <c r="E34" s="1">
        <v>3</v>
      </c>
      <c r="F34" s="1">
        <v>0</v>
      </c>
      <c r="G34" s="1">
        <v>5</v>
      </c>
      <c r="H34" s="4">
        <f t="shared" ca="1" si="0"/>
        <v>21600</v>
      </c>
      <c r="I34" s="4">
        <f t="shared" ca="1" si="1"/>
        <v>0</v>
      </c>
      <c r="J34" s="4">
        <f t="shared" ca="1" si="2"/>
        <v>21600</v>
      </c>
      <c r="K34" s="4">
        <f t="shared" ca="1" si="3"/>
        <v>43200</v>
      </c>
    </row>
    <row r="35" spans="1:11" x14ac:dyDescent="0.3">
      <c r="A35" s="1">
        <v>34</v>
      </c>
      <c r="B35" s="1">
        <v>6</v>
      </c>
      <c r="C35" s="1">
        <v>19</v>
      </c>
      <c r="D35" s="2">
        <v>44576</v>
      </c>
      <c r="E35" s="1">
        <v>2</v>
      </c>
      <c r="F35" s="1">
        <v>5</v>
      </c>
      <c r="G35" s="1">
        <v>4</v>
      </c>
      <c r="H35" s="4">
        <f t="shared" ca="1" si="0"/>
        <v>37800</v>
      </c>
      <c r="I35" s="4">
        <f t="shared" ca="1" si="1"/>
        <v>75600</v>
      </c>
      <c r="J35" s="4">
        <f t="shared" ca="1" si="2"/>
        <v>45360</v>
      </c>
      <c r="K35" s="4">
        <f t="shared" ca="1" si="3"/>
        <v>158760</v>
      </c>
    </row>
    <row r="36" spans="1:11" x14ac:dyDescent="0.3">
      <c r="A36" s="1">
        <v>35</v>
      </c>
      <c r="B36" s="1">
        <v>3</v>
      </c>
      <c r="C36" s="1">
        <v>56</v>
      </c>
      <c r="D36" s="2">
        <v>44576</v>
      </c>
      <c r="E36" s="1">
        <v>1</v>
      </c>
      <c r="F36" s="1">
        <v>5</v>
      </c>
      <c r="G36" s="1">
        <v>2</v>
      </c>
      <c r="H36" s="4">
        <f t="shared" ca="1" si="0"/>
        <v>22410</v>
      </c>
      <c r="I36" s="4">
        <f t="shared" ca="1" si="1"/>
        <v>89640</v>
      </c>
      <c r="J36" s="4">
        <f t="shared" ca="1" si="2"/>
        <v>26892</v>
      </c>
      <c r="K36" s="4">
        <f t="shared" ca="1" si="3"/>
        <v>138942</v>
      </c>
    </row>
    <row r="37" spans="1:11" x14ac:dyDescent="0.3">
      <c r="A37" s="1">
        <v>36</v>
      </c>
      <c r="B37" s="1">
        <v>2</v>
      </c>
      <c r="C37" s="1">
        <v>32</v>
      </c>
      <c r="D37" s="2">
        <v>44577</v>
      </c>
      <c r="E37" s="1">
        <v>5</v>
      </c>
      <c r="F37" s="1">
        <v>1</v>
      </c>
      <c r="G37" s="1">
        <v>4</v>
      </c>
      <c r="H37" s="4">
        <f t="shared" ca="1" si="0"/>
        <v>127500</v>
      </c>
      <c r="I37" s="4">
        <f t="shared" ca="1" si="1"/>
        <v>20400</v>
      </c>
      <c r="J37" s="4">
        <f t="shared" ca="1" si="2"/>
        <v>61200</v>
      </c>
      <c r="K37" s="4">
        <f t="shared" ca="1" si="3"/>
        <v>209100</v>
      </c>
    </row>
    <row r="38" spans="1:11" x14ac:dyDescent="0.3">
      <c r="A38" s="1">
        <v>37</v>
      </c>
      <c r="B38" s="1">
        <v>15</v>
      </c>
      <c r="C38" s="1">
        <v>54</v>
      </c>
      <c r="D38" s="2">
        <v>44577</v>
      </c>
      <c r="E38" s="1">
        <v>5</v>
      </c>
      <c r="F38" s="1">
        <v>2</v>
      </c>
      <c r="G38" s="1">
        <v>3</v>
      </c>
      <c r="H38" s="4">
        <f t="shared" ca="1" si="0"/>
        <v>110700</v>
      </c>
      <c r="I38" s="4">
        <f t="shared" ca="1" si="1"/>
        <v>35424</v>
      </c>
      <c r="J38" s="4">
        <f t="shared" ca="1" si="2"/>
        <v>39852</v>
      </c>
      <c r="K38" s="4">
        <f t="shared" ca="1" si="3"/>
        <v>185976</v>
      </c>
    </row>
    <row r="39" spans="1:11" x14ac:dyDescent="0.3">
      <c r="A39" s="1">
        <v>38</v>
      </c>
      <c r="B39" s="1">
        <v>17</v>
      </c>
      <c r="C39" s="1">
        <v>46</v>
      </c>
      <c r="D39" s="2">
        <v>44577</v>
      </c>
      <c r="E39" s="1">
        <v>4</v>
      </c>
      <c r="F39" s="1">
        <v>3</v>
      </c>
      <c r="G39" s="1">
        <v>4</v>
      </c>
      <c r="H39" s="4">
        <f t="shared" ca="1" si="0"/>
        <v>91200</v>
      </c>
      <c r="I39" s="4">
        <f t="shared" ca="1" si="1"/>
        <v>54720</v>
      </c>
      <c r="J39" s="4">
        <f t="shared" ca="1" si="2"/>
        <v>54720</v>
      </c>
      <c r="K39" s="4">
        <f t="shared" ca="1" si="3"/>
        <v>200640</v>
      </c>
    </row>
    <row r="40" spans="1:11" x14ac:dyDescent="0.3">
      <c r="A40" s="1">
        <v>39</v>
      </c>
      <c r="B40" s="1">
        <v>13</v>
      </c>
      <c r="C40" s="1">
        <v>34</v>
      </c>
      <c r="D40" s="2">
        <v>44579</v>
      </c>
      <c r="E40" s="1">
        <v>1</v>
      </c>
      <c r="F40" s="1">
        <v>4</v>
      </c>
      <c r="G40" s="1">
        <v>4</v>
      </c>
      <c r="H40" s="4">
        <f t="shared" ca="1" si="0"/>
        <v>26800</v>
      </c>
      <c r="I40" s="4">
        <f t="shared" ca="1" si="1"/>
        <v>85760</v>
      </c>
      <c r="J40" s="4">
        <f t="shared" ca="1" si="2"/>
        <v>64320</v>
      </c>
      <c r="K40" s="4">
        <f t="shared" ca="1" si="3"/>
        <v>176880</v>
      </c>
    </row>
    <row r="41" spans="1:11" x14ac:dyDescent="0.3">
      <c r="A41" s="1">
        <v>40</v>
      </c>
      <c r="B41" s="1">
        <v>2</v>
      </c>
      <c r="C41" s="1">
        <v>37</v>
      </c>
      <c r="D41" s="2">
        <v>44579</v>
      </c>
      <c r="E41" s="1">
        <v>3</v>
      </c>
      <c r="F41" s="1">
        <v>4</v>
      </c>
      <c r="G41" s="1">
        <v>0</v>
      </c>
      <c r="H41" s="4">
        <f t="shared" ca="1" si="0"/>
        <v>37800</v>
      </c>
      <c r="I41" s="4">
        <f t="shared" ca="1" si="1"/>
        <v>40320</v>
      </c>
      <c r="J41" s="4">
        <f t="shared" ca="1" si="2"/>
        <v>0</v>
      </c>
      <c r="K41" s="4">
        <f t="shared" ca="1" si="3"/>
        <v>78120</v>
      </c>
    </row>
    <row r="42" spans="1:11" x14ac:dyDescent="0.3">
      <c r="A42" s="1">
        <v>41</v>
      </c>
      <c r="B42" s="1">
        <v>1</v>
      </c>
      <c r="C42" s="1">
        <v>8</v>
      </c>
      <c r="D42" s="2">
        <v>44579</v>
      </c>
      <c r="E42" s="1">
        <v>4</v>
      </c>
      <c r="F42" s="1">
        <v>2</v>
      </c>
      <c r="G42" s="1">
        <v>1</v>
      </c>
      <c r="H42" s="4">
        <f t="shared" ca="1" si="0"/>
        <v>87680</v>
      </c>
      <c r="I42" s="4">
        <f t="shared" ca="1" si="1"/>
        <v>35072</v>
      </c>
      <c r="J42" s="4">
        <f t="shared" ca="1" si="2"/>
        <v>13152</v>
      </c>
      <c r="K42" s="4">
        <f t="shared" ca="1" si="3"/>
        <v>135904</v>
      </c>
    </row>
    <row r="43" spans="1:11" x14ac:dyDescent="0.3">
      <c r="A43" s="1">
        <v>42</v>
      </c>
      <c r="B43" s="1">
        <v>5</v>
      </c>
      <c r="C43" s="1">
        <v>43</v>
      </c>
      <c r="D43" s="2">
        <v>44580</v>
      </c>
      <c r="E43" s="1">
        <v>1</v>
      </c>
      <c r="F43" s="1">
        <v>0</v>
      </c>
      <c r="G43" s="1">
        <v>2</v>
      </c>
      <c r="H43" s="4">
        <f t="shared" ca="1" si="0"/>
        <v>21600</v>
      </c>
      <c r="I43" s="4">
        <f t="shared" ca="1" si="1"/>
        <v>0</v>
      </c>
      <c r="J43" s="4">
        <f t="shared" ca="1" si="2"/>
        <v>25920</v>
      </c>
      <c r="K43" s="4">
        <f t="shared" ca="1" si="3"/>
        <v>47520</v>
      </c>
    </row>
    <row r="44" spans="1:11" x14ac:dyDescent="0.3">
      <c r="A44" s="1">
        <v>43</v>
      </c>
      <c r="B44" s="1">
        <v>9</v>
      </c>
      <c r="C44" s="1">
        <v>6</v>
      </c>
      <c r="D44" s="2">
        <v>44580</v>
      </c>
      <c r="E44" s="1">
        <v>0</v>
      </c>
      <c r="F44" s="1">
        <v>1</v>
      </c>
      <c r="G44" s="1">
        <v>2</v>
      </c>
      <c r="H44" s="4">
        <f t="shared" ca="1" si="0"/>
        <v>0</v>
      </c>
      <c r="I44" s="4">
        <f t="shared" ca="1" si="1"/>
        <v>21440</v>
      </c>
      <c r="J44" s="4">
        <f t="shared" ca="1" si="2"/>
        <v>32160</v>
      </c>
      <c r="K44" s="4">
        <f t="shared" ca="1" si="3"/>
        <v>53600</v>
      </c>
    </row>
    <row r="45" spans="1:11" x14ac:dyDescent="0.3">
      <c r="A45" s="1">
        <v>44</v>
      </c>
      <c r="B45" s="1">
        <v>27</v>
      </c>
      <c r="C45" s="1">
        <v>36</v>
      </c>
      <c r="D45" s="2">
        <v>44581</v>
      </c>
      <c r="E45" s="1">
        <v>1</v>
      </c>
      <c r="F45" s="1">
        <v>3</v>
      </c>
      <c r="G45" s="1">
        <v>2</v>
      </c>
      <c r="H45" s="4">
        <f t="shared" ca="1" si="0"/>
        <v>20250</v>
      </c>
      <c r="I45" s="4">
        <f t="shared" ca="1" si="1"/>
        <v>48600</v>
      </c>
      <c r="J45" s="4">
        <f t="shared" ca="1" si="2"/>
        <v>24300</v>
      </c>
      <c r="K45" s="4">
        <f t="shared" ca="1" si="3"/>
        <v>93150</v>
      </c>
    </row>
    <row r="46" spans="1:11" x14ac:dyDescent="0.3">
      <c r="A46" s="1">
        <v>45</v>
      </c>
      <c r="B46" s="1">
        <v>13</v>
      </c>
      <c r="C46" s="1">
        <v>34</v>
      </c>
      <c r="D46" s="2">
        <v>44581</v>
      </c>
      <c r="E46" s="1">
        <v>5</v>
      </c>
      <c r="F46" s="1">
        <v>3</v>
      </c>
      <c r="G46" s="1">
        <v>3</v>
      </c>
      <c r="H46" s="4">
        <f t="shared" ca="1" si="0"/>
        <v>134000</v>
      </c>
      <c r="I46" s="4">
        <f t="shared" ca="1" si="1"/>
        <v>64320</v>
      </c>
      <c r="J46" s="4">
        <f t="shared" ca="1" si="2"/>
        <v>48240</v>
      </c>
      <c r="K46" s="4">
        <f t="shared" ca="1" si="3"/>
        <v>246560</v>
      </c>
    </row>
    <row r="47" spans="1:11" x14ac:dyDescent="0.3">
      <c r="A47" s="1">
        <v>46</v>
      </c>
      <c r="B47" s="1">
        <v>20</v>
      </c>
      <c r="C47" s="1">
        <v>51</v>
      </c>
      <c r="D47" s="2">
        <v>44581</v>
      </c>
      <c r="E47" s="1">
        <v>3</v>
      </c>
      <c r="F47" s="1">
        <v>1</v>
      </c>
      <c r="G47" s="1">
        <v>4</v>
      </c>
      <c r="H47" s="4">
        <f t="shared" ca="1" si="0"/>
        <v>29700</v>
      </c>
      <c r="I47" s="4">
        <f t="shared" ca="1" si="1"/>
        <v>7920</v>
      </c>
      <c r="J47" s="4">
        <f t="shared" ca="1" si="2"/>
        <v>23760</v>
      </c>
      <c r="K47" s="4">
        <f t="shared" ca="1" si="3"/>
        <v>61380</v>
      </c>
    </row>
    <row r="48" spans="1:11" x14ac:dyDescent="0.3">
      <c r="A48" s="1">
        <v>47</v>
      </c>
      <c r="B48" s="1">
        <v>25</v>
      </c>
      <c r="C48" s="1">
        <v>3</v>
      </c>
      <c r="D48" s="2">
        <v>44581</v>
      </c>
      <c r="E48" s="1">
        <v>1</v>
      </c>
      <c r="F48" s="1">
        <v>2</v>
      </c>
      <c r="G48" s="1">
        <v>1</v>
      </c>
      <c r="H48" s="4">
        <f t="shared" ca="1" si="0"/>
        <v>26720</v>
      </c>
      <c r="I48" s="4">
        <f t="shared" ca="1" si="1"/>
        <v>42752</v>
      </c>
      <c r="J48" s="4">
        <f t="shared" ca="1" si="2"/>
        <v>16032</v>
      </c>
      <c r="K48" s="4">
        <f t="shared" ca="1" si="3"/>
        <v>85504</v>
      </c>
    </row>
    <row r="49" spans="1:11" x14ac:dyDescent="0.3">
      <c r="A49" s="1">
        <v>48</v>
      </c>
      <c r="B49" s="1">
        <v>4</v>
      </c>
      <c r="C49" s="1">
        <v>54</v>
      </c>
      <c r="D49" s="2">
        <v>44582</v>
      </c>
      <c r="E49" s="1">
        <v>4</v>
      </c>
      <c r="F49" s="1">
        <v>1</v>
      </c>
      <c r="G49" s="1">
        <v>2</v>
      </c>
      <c r="H49" s="4">
        <f t="shared" ca="1" si="0"/>
        <v>88560</v>
      </c>
      <c r="I49" s="4">
        <f t="shared" ca="1" si="1"/>
        <v>17712</v>
      </c>
      <c r="J49" s="4">
        <f t="shared" ca="1" si="2"/>
        <v>26568</v>
      </c>
      <c r="K49" s="4">
        <f t="shared" ca="1" si="3"/>
        <v>132840</v>
      </c>
    </row>
    <row r="50" spans="1:11" x14ac:dyDescent="0.3">
      <c r="A50" s="1">
        <v>49</v>
      </c>
      <c r="B50" s="1">
        <v>15</v>
      </c>
      <c r="C50" s="1">
        <v>46</v>
      </c>
      <c r="D50" s="2">
        <v>44584</v>
      </c>
      <c r="E50" s="1">
        <v>4</v>
      </c>
      <c r="F50" s="1">
        <v>5</v>
      </c>
      <c r="G50" s="1">
        <v>4</v>
      </c>
      <c r="H50" s="4">
        <f t="shared" ca="1" si="0"/>
        <v>91200</v>
      </c>
      <c r="I50" s="4">
        <f t="shared" ca="1" si="1"/>
        <v>91200</v>
      </c>
      <c r="J50" s="4">
        <f t="shared" ca="1" si="2"/>
        <v>54720</v>
      </c>
      <c r="K50" s="4">
        <f t="shared" ca="1" si="3"/>
        <v>237120</v>
      </c>
    </row>
    <row r="51" spans="1:11" x14ac:dyDescent="0.3">
      <c r="A51" s="1">
        <v>50</v>
      </c>
      <c r="B51" s="1">
        <v>24</v>
      </c>
      <c r="C51" s="1">
        <v>13</v>
      </c>
      <c r="D51" s="2">
        <v>44584</v>
      </c>
      <c r="E51" s="1">
        <v>3</v>
      </c>
      <c r="F51" s="1">
        <v>3</v>
      </c>
      <c r="G51" s="1">
        <v>2</v>
      </c>
      <c r="H51" s="4">
        <f t="shared" ca="1" si="0"/>
        <v>112800</v>
      </c>
      <c r="I51" s="4">
        <f t="shared" ca="1" si="1"/>
        <v>90240</v>
      </c>
      <c r="J51" s="4">
        <f t="shared" ca="1" si="2"/>
        <v>45120</v>
      </c>
      <c r="K51" s="4">
        <f t="shared" ca="1" si="3"/>
        <v>248160</v>
      </c>
    </row>
    <row r="52" spans="1:11" x14ac:dyDescent="0.3">
      <c r="A52" s="1">
        <v>51</v>
      </c>
      <c r="B52" s="1">
        <v>20</v>
      </c>
      <c r="C52" s="1">
        <v>30</v>
      </c>
      <c r="D52" s="2">
        <v>44584</v>
      </c>
      <c r="E52" s="1">
        <v>0</v>
      </c>
      <c r="F52" s="1">
        <v>4</v>
      </c>
      <c r="G52" s="1">
        <v>0</v>
      </c>
      <c r="H52" s="4">
        <f t="shared" ca="1" si="0"/>
        <v>0</v>
      </c>
      <c r="I52" s="4">
        <f t="shared" ca="1" si="1"/>
        <v>53760</v>
      </c>
      <c r="J52" s="4">
        <f t="shared" ca="1" si="2"/>
        <v>0</v>
      </c>
      <c r="K52" s="4">
        <f t="shared" ca="1" si="3"/>
        <v>53760</v>
      </c>
    </row>
    <row r="53" spans="1:11" x14ac:dyDescent="0.3">
      <c r="A53" s="1">
        <v>52</v>
      </c>
      <c r="B53" s="1">
        <v>19</v>
      </c>
      <c r="C53" s="1">
        <v>21</v>
      </c>
      <c r="D53" s="2">
        <v>44584</v>
      </c>
      <c r="E53" s="1">
        <v>5</v>
      </c>
      <c r="F53" s="1">
        <v>4</v>
      </c>
      <c r="G53" s="1">
        <v>2</v>
      </c>
      <c r="H53" s="4">
        <f t="shared" ca="1" si="0"/>
        <v>100000</v>
      </c>
      <c r="I53" s="4">
        <f t="shared" ca="1" si="1"/>
        <v>64000</v>
      </c>
      <c r="J53" s="4">
        <f t="shared" ca="1" si="2"/>
        <v>24000</v>
      </c>
      <c r="K53" s="4">
        <f t="shared" ca="1" si="3"/>
        <v>188000</v>
      </c>
    </row>
    <row r="54" spans="1:11" x14ac:dyDescent="0.3">
      <c r="A54" s="1">
        <v>53</v>
      </c>
      <c r="B54" s="1">
        <v>27</v>
      </c>
      <c r="C54" s="1">
        <v>7</v>
      </c>
      <c r="D54" s="2">
        <v>44585</v>
      </c>
      <c r="E54" s="1">
        <v>0</v>
      </c>
      <c r="F54" s="1">
        <v>5</v>
      </c>
      <c r="G54" s="1">
        <v>0</v>
      </c>
      <c r="H54" s="4">
        <f t="shared" ca="1" si="0"/>
        <v>0</v>
      </c>
      <c r="I54" s="4">
        <f t="shared" ca="1" si="1"/>
        <v>104320</v>
      </c>
      <c r="J54" s="4">
        <f t="shared" ca="1" si="2"/>
        <v>0</v>
      </c>
      <c r="K54" s="4">
        <f t="shared" ca="1" si="3"/>
        <v>104320</v>
      </c>
    </row>
    <row r="55" spans="1:11" x14ac:dyDescent="0.3">
      <c r="A55" s="1">
        <v>54</v>
      </c>
      <c r="B55" s="1">
        <v>15</v>
      </c>
      <c r="C55" s="1">
        <v>46</v>
      </c>
      <c r="D55" s="2">
        <v>44586</v>
      </c>
      <c r="E55" s="1">
        <v>0</v>
      </c>
      <c r="F55" s="1">
        <v>1</v>
      </c>
      <c r="G55" s="1">
        <v>3</v>
      </c>
      <c r="H55" s="4">
        <f t="shared" ca="1" si="0"/>
        <v>0</v>
      </c>
      <c r="I55" s="4">
        <f t="shared" ca="1" si="1"/>
        <v>18240</v>
      </c>
      <c r="J55" s="4">
        <f t="shared" ca="1" si="2"/>
        <v>41040</v>
      </c>
      <c r="K55" s="4">
        <f t="shared" ca="1" si="3"/>
        <v>59280</v>
      </c>
    </row>
    <row r="56" spans="1:11" x14ac:dyDescent="0.3">
      <c r="A56" s="1">
        <v>55</v>
      </c>
      <c r="B56" s="1">
        <v>17</v>
      </c>
      <c r="C56" s="1">
        <v>56</v>
      </c>
      <c r="D56" s="2">
        <v>44586</v>
      </c>
      <c r="E56" s="1">
        <v>5</v>
      </c>
      <c r="F56" s="1">
        <v>3</v>
      </c>
      <c r="G56" s="1">
        <v>3</v>
      </c>
      <c r="H56" s="4">
        <f t="shared" ca="1" si="0"/>
        <v>112050</v>
      </c>
      <c r="I56" s="4">
        <f t="shared" ca="1" si="1"/>
        <v>53784</v>
      </c>
      <c r="J56" s="4">
        <f t="shared" ca="1" si="2"/>
        <v>40338</v>
      </c>
      <c r="K56" s="4">
        <f t="shared" ca="1" si="3"/>
        <v>206172</v>
      </c>
    </row>
    <row r="57" spans="1:11" x14ac:dyDescent="0.3">
      <c r="A57" s="1">
        <v>56</v>
      </c>
      <c r="B57" s="1">
        <v>11</v>
      </c>
      <c r="C57" s="1">
        <v>21</v>
      </c>
      <c r="D57" s="2">
        <v>44587</v>
      </c>
      <c r="E57" s="1">
        <v>1</v>
      </c>
      <c r="F57" s="1">
        <v>2</v>
      </c>
      <c r="G57" s="1">
        <v>2</v>
      </c>
      <c r="H57" s="4">
        <f t="shared" ca="1" si="0"/>
        <v>20000</v>
      </c>
      <c r="I57" s="4">
        <f t="shared" ca="1" si="1"/>
        <v>32000</v>
      </c>
      <c r="J57" s="4">
        <f t="shared" ca="1" si="2"/>
        <v>24000</v>
      </c>
      <c r="K57" s="4">
        <f t="shared" ca="1" si="3"/>
        <v>76000</v>
      </c>
    </row>
    <row r="58" spans="1:11" x14ac:dyDescent="0.3">
      <c r="A58" s="1">
        <v>57</v>
      </c>
      <c r="B58" s="1">
        <v>23</v>
      </c>
      <c r="C58" s="1">
        <v>22</v>
      </c>
      <c r="D58" s="2">
        <v>44587</v>
      </c>
      <c r="E58" s="1">
        <v>0</v>
      </c>
      <c r="F58" s="1">
        <v>3</v>
      </c>
      <c r="G58" s="1">
        <v>0</v>
      </c>
      <c r="H58" s="4">
        <f t="shared" ca="1" si="0"/>
        <v>0</v>
      </c>
      <c r="I58" s="4">
        <f t="shared" ca="1" si="1"/>
        <v>30240</v>
      </c>
      <c r="J58" s="4">
        <f t="shared" ca="1" si="2"/>
        <v>0</v>
      </c>
      <c r="K58" s="4">
        <f t="shared" ca="1" si="3"/>
        <v>30240</v>
      </c>
    </row>
    <row r="59" spans="1:11" x14ac:dyDescent="0.3">
      <c r="A59" s="1">
        <v>58</v>
      </c>
      <c r="B59" s="1">
        <v>15</v>
      </c>
      <c r="C59" s="1">
        <v>21</v>
      </c>
      <c r="D59" s="2">
        <v>44588</v>
      </c>
      <c r="E59" s="1">
        <v>3</v>
      </c>
      <c r="F59" s="1">
        <v>0</v>
      </c>
      <c r="G59" s="1">
        <v>3</v>
      </c>
      <c r="H59" s="4">
        <f t="shared" ca="1" si="0"/>
        <v>60000</v>
      </c>
      <c r="I59" s="4">
        <f t="shared" ca="1" si="1"/>
        <v>0</v>
      </c>
      <c r="J59" s="4">
        <f t="shared" ca="1" si="2"/>
        <v>36000</v>
      </c>
      <c r="K59" s="4">
        <f t="shared" ca="1" si="3"/>
        <v>96000</v>
      </c>
    </row>
    <row r="60" spans="1:11" x14ac:dyDescent="0.3">
      <c r="A60" s="1">
        <v>59</v>
      </c>
      <c r="B60" s="1">
        <v>18</v>
      </c>
      <c r="C60" s="1">
        <v>49</v>
      </c>
      <c r="D60" s="2">
        <v>44588</v>
      </c>
      <c r="E60" s="1">
        <v>0</v>
      </c>
      <c r="F60" s="1">
        <v>1</v>
      </c>
      <c r="G60" s="1">
        <v>0</v>
      </c>
      <c r="H60" s="4">
        <f t="shared" ca="1" si="0"/>
        <v>0</v>
      </c>
      <c r="I60" s="4">
        <f t="shared" ca="1" si="1"/>
        <v>24960</v>
      </c>
      <c r="J60" s="4">
        <f t="shared" ca="1" si="2"/>
        <v>0</v>
      </c>
      <c r="K60" s="4">
        <f t="shared" ca="1" si="3"/>
        <v>24960</v>
      </c>
    </row>
    <row r="61" spans="1:11" x14ac:dyDescent="0.3">
      <c r="A61" s="1">
        <v>60</v>
      </c>
      <c r="B61" s="1">
        <v>21</v>
      </c>
      <c r="C61" s="1">
        <v>1</v>
      </c>
      <c r="D61" s="2">
        <v>44589</v>
      </c>
      <c r="E61" s="1">
        <v>0</v>
      </c>
      <c r="F61" s="1">
        <v>1</v>
      </c>
      <c r="G61" s="1">
        <v>5</v>
      </c>
      <c r="H61" s="4">
        <f t="shared" ca="1" si="0"/>
        <v>0</v>
      </c>
      <c r="I61" s="4">
        <f t="shared" ca="1" si="1"/>
        <v>14976</v>
      </c>
      <c r="J61" s="4">
        <f t="shared" ca="1" si="2"/>
        <v>56160</v>
      </c>
      <c r="K61" s="4">
        <f t="shared" ca="1" si="3"/>
        <v>71136</v>
      </c>
    </row>
    <row r="62" spans="1:11" x14ac:dyDescent="0.3">
      <c r="A62" s="1">
        <v>61</v>
      </c>
      <c r="B62" s="1">
        <v>6</v>
      </c>
      <c r="C62" s="1">
        <v>56</v>
      </c>
      <c r="D62" s="2">
        <v>44589</v>
      </c>
      <c r="E62" s="1">
        <v>4</v>
      </c>
      <c r="F62" s="1">
        <v>5</v>
      </c>
      <c r="G62" s="1">
        <v>4</v>
      </c>
      <c r="H62" s="4">
        <f t="shared" ca="1" si="0"/>
        <v>89640</v>
      </c>
      <c r="I62" s="4">
        <f t="shared" ca="1" si="1"/>
        <v>89640</v>
      </c>
      <c r="J62" s="4">
        <f t="shared" ca="1" si="2"/>
        <v>53784</v>
      </c>
      <c r="K62" s="4">
        <f t="shared" ca="1" si="3"/>
        <v>233064</v>
      </c>
    </row>
    <row r="63" spans="1:11" x14ac:dyDescent="0.3">
      <c r="A63" s="1">
        <v>62</v>
      </c>
      <c r="B63" s="1">
        <v>17</v>
      </c>
      <c r="C63" s="1">
        <v>33</v>
      </c>
      <c r="D63" s="2">
        <v>44589</v>
      </c>
      <c r="E63" s="1">
        <v>3</v>
      </c>
      <c r="F63" s="1">
        <v>2</v>
      </c>
      <c r="G63" s="1">
        <v>4</v>
      </c>
      <c r="H63" s="4">
        <f t="shared" ca="1" si="0"/>
        <v>40800</v>
      </c>
      <c r="I63" s="4">
        <f t="shared" ca="1" si="1"/>
        <v>21760</v>
      </c>
      <c r="J63" s="4">
        <f t="shared" ca="1" si="2"/>
        <v>32640</v>
      </c>
      <c r="K63" s="4">
        <f t="shared" ca="1" si="3"/>
        <v>95200</v>
      </c>
    </row>
    <row r="64" spans="1:11" x14ac:dyDescent="0.3">
      <c r="A64" s="1">
        <v>63</v>
      </c>
      <c r="B64" s="1">
        <v>14</v>
      </c>
      <c r="C64" s="1">
        <v>48</v>
      </c>
      <c r="D64" s="2">
        <v>44589</v>
      </c>
      <c r="E64" s="1">
        <v>3</v>
      </c>
      <c r="F64" s="1">
        <v>5</v>
      </c>
      <c r="G64" s="1">
        <v>2</v>
      </c>
      <c r="H64" s="4">
        <f t="shared" ca="1" si="0"/>
        <v>55200</v>
      </c>
      <c r="I64" s="4">
        <f t="shared" ca="1" si="1"/>
        <v>73600</v>
      </c>
      <c r="J64" s="4">
        <f t="shared" ca="1" si="2"/>
        <v>22080</v>
      </c>
      <c r="K64" s="4">
        <f t="shared" ca="1" si="3"/>
        <v>150880</v>
      </c>
    </row>
    <row r="65" spans="1:11" x14ac:dyDescent="0.3">
      <c r="A65" s="1">
        <v>64</v>
      </c>
      <c r="B65" s="1">
        <v>13</v>
      </c>
      <c r="C65" s="1">
        <v>3</v>
      </c>
      <c r="D65" s="2">
        <v>44589</v>
      </c>
      <c r="E65" s="1">
        <v>4</v>
      </c>
      <c r="F65" s="1">
        <v>0</v>
      </c>
      <c r="G65" s="1">
        <v>4</v>
      </c>
      <c r="H65" s="4">
        <f t="shared" ca="1" si="0"/>
        <v>106880</v>
      </c>
      <c r="I65" s="4">
        <f t="shared" ca="1" si="1"/>
        <v>0</v>
      </c>
      <c r="J65" s="4">
        <f t="shared" ca="1" si="2"/>
        <v>64128</v>
      </c>
      <c r="K65" s="4">
        <f t="shared" ca="1" si="3"/>
        <v>171008</v>
      </c>
    </row>
    <row r="66" spans="1:11" x14ac:dyDescent="0.3">
      <c r="A66" s="1">
        <v>65</v>
      </c>
      <c r="B66" s="1">
        <v>9</v>
      </c>
      <c r="C66" s="1">
        <v>22</v>
      </c>
      <c r="D66" s="2">
        <v>44591</v>
      </c>
      <c r="E66" s="1">
        <v>3</v>
      </c>
      <c r="F66" s="1">
        <v>2</v>
      </c>
      <c r="G66" s="1">
        <v>2</v>
      </c>
      <c r="H66" s="4">
        <f t="shared" ref="H66:H129" ca="1" si="4">VLOOKUP(C66,패키지,5,0)*E66</f>
        <v>37800</v>
      </c>
      <c r="I66" s="4">
        <f t="shared" ref="I66:I129" ca="1" si="5">VLOOKUP(C66,패키지,5,0)*0.8*F66</f>
        <v>20160</v>
      </c>
      <c r="J66" s="4">
        <f t="shared" ref="J66:J129" ca="1" si="6">VLOOKUP(C66,패키지,5,0)*0.6*G66</f>
        <v>15120</v>
      </c>
      <c r="K66" s="4">
        <f t="shared" ca="1" si="3"/>
        <v>73080</v>
      </c>
    </row>
    <row r="67" spans="1:11" x14ac:dyDescent="0.3">
      <c r="A67" s="1">
        <v>66</v>
      </c>
      <c r="B67" s="1">
        <v>5</v>
      </c>
      <c r="C67" s="1">
        <v>46</v>
      </c>
      <c r="D67" s="2">
        <v>44591</v>
      </c>
      <c r="E67" s="1">
        <v>1</v>
      </c>
      <c r="F67" s="1">
        <v>4</v>
      </c>
      <c r="G67" s="1">
        <v>0</v>
      </c>
      <c r="H67" s="4">
        <f t="shared" ca="1" si="4"/>
        <v>22800</v>
      </c>
      <c r="I67" s="4">
        <f t="shared" ca="1" si="5"/>
        <v>72960</v>
      </c>
      <c r="J67" s="4">
        <f t="shared" ca="1" si="6"/>
        <v>0</v>
      </c>
      <c r="K67" s="4">
        <f t="shared" ref="K67:K130" ca="1" si="7">SUM(J67,I67,H67)</f>
        <v>95760</v>
      </c>
    </row>
    <row r="68" spans="1:11" x14ac:dyDescent="0.3">
      <c r="A68" s="1">
        <v>67</v>
      </c>
      <c r="B68" s="1">
        <v>5</v>
      </c>
      <c r="C68" s="1">
        <v>34</v>
      </c>
      <c r="D68" s="2">
        <v>44591</v>
      </c>
      <c r="E68" s="1">
        <v>4</v>
      </c>
      <c r="F68" s="1">
        <v>0</v>
      </c>
      <c r="G68" s="1">
        <v>3</v>
      </c>
      <c r="H68" s="4">
        <f t="shared" ca="1" si="4"/>
        <v>107200</v>
      </c>
      <c r="I68" s="4">
        <f t="shared" ca="1" si="5"/>
        <v>0</v>
      </c>
      <c r="J68" s="4">
        <f t="shared" ca="1" si="6"/>
        <v>48240</v>
      </c>
      <c r="K68" s="4">
        <f t="shared" ca="1" si="7"/>
        <v>155440</v>
      </c>
    </row>
    <row r="69" spans="1:11" x14ac:dyDescent="0.3">
      <c r="A69" s="1">
        <v>68</v>
      </c>
      <c r="B69" s="1">
        <v>6</v>
      </c>
      <c r="C69" s="1">
        <v>39</v>
      </c>
      <c r="D69" s="2">
        <v>44592</v>
      </c>
      <c r="E69" s="1">
        <v>1</v>
      </c>
      <c r="F69" s="1">
        <v>1</v>
      </c>
      <c r="G69" s="1">
        <v>4</v>
      </c>
      <c r="H69" s="4">
        <f t="shared" ca="1" si="4"/>
        <v>18900</v>
      </c>
      <c r="I69" s="4">
        <f t="shared" ca="1" si="5"/>
        <v>15120</v>
      </c>
      <c r="J69" s="4">
        <f t="shared" ca="1" si="6"/>
        <v>45360</v>
      </c>
      <c r="K69" s="4">
        <f t="shared" ca="1" si="7"/>
        <v>79380</v>
      </c>
    </row>
    <row r="70" spans="1:11" x14ac:dyDescent="0.3">
      <c r="A70" s="1">
        <v>69</v>
      </c>
      <c r="B70" s="1">
        <v>20</v>
      </c>
      <c r="C70" s="1">
        <v>21</v>
      </c>
      <c r="D70" s="2">
        <v>44592</v>
      </c>
      <c r="E70" s="1">
        <v>0</v>
      </c>
      <c r="F70" s="1">
        <v>2</v>
      </c>
      <c r="G70" s="1">
        <v>5</v>
      </c>
      <c r="H70" s="4">
        <f t="shared" ca="1" si="4"/>
        <v>0</v>
      </c>
      <c r="I70" s="4">
        <f t="shared" ca="1" si="5"/>
        <v>32000</v>
      </c>
      <c r="J70" s="4">
        <f t="shared" ca="1" si="6"/>
        <v>60000</v>
      </c>
      <c r="K70" s="4">
        <f t="shared" ca="1" si="7"/>
        <v>92000</v>
      </c>
    </row>
    <row r="71" spans="1:11" x14ac:dyDescent="0.3">
      <c r="A71" s="1">
        <v>70</v>
      </c>
      <c r="B71" s="1">
        <v>10</v>
      </c>
      <c r="C71" s="1">
        <v>19</v>
      </c>
      <c r="D71" s="2">
        <v>44592</v>
      </c>
      <c r="E71" s="1">
        <v>1</v>
      </c>
      <c r="F71" s="1">
        <v>3</v>
      </c>
      <c r="G71" s="1">
        <v>1</v>
      </c>
      <c r="H71" s="4">
        <f t="shared" ca="1" si="4"/>
        <v>18900</v>
      </c>
      <c r="I71" s="4">
        <f t="shared" ca="1" si="5"/>
        <v>45360</v>
      </c>
      <c r="J71" s="4">
        <f t="shared" ca="1" si="6"/>
        <v>11340</v>
      </c>
      <c r="K71" s="4">
        <f t="shared" ca="1" si="7"/>
        <v>75600</v>
      </c>
    </row>
    <row r="72" spans="1:11" x14ac:dyDescent="0.3">
      <c r="A72" s="1">
        <v>71</v>
      </c>
      <c r="B72" s="1">
        <v>15</v>
      </c>
      <c r="C72" s="1">
        <v>29</v>
      </c>
      <c r="D72" s="2">
        <v>44593</v>
      </c>
      <c r="E72" s="1">
        <v>3</v>
      </c>
      <c r="F72" s="1">
        <v>4</v>
      </c>
      <c r="G72" s="1">
        <v>5</v>
      </c>
      <c r="H72" s="4">
        <f t="shared" ca="1" si="4"/>
        <v>33600</v>
      </c>
      <c r="I72" s="4">
        <f t="shared" ca="1" si="5"/>
        <v>35840</v>
      </c>
      <c r="J72" s="4">
        <f t="shared" ca="1" si="6"/>
        <v>33600</v>
      </c>
      <c r="K72" s="4">
        <f t="shared" ca="1" si="7"/>
        <v>103040</v>
      </c>
    </row>
    <row r="73" spans="1:11" x14ac:dyDescent="0.3">
      <c r="A73" s="1">
        <v>72</v>
      </c>
      <c r="B73" s="1">
        <v>16</v>
      </c>
      <c r="C73" s="1">
        <v>36</v>
      </c>
      <c r="D73" s="2">
        <v>44594</v>
      </c>
      <c r="E73" s="1">
        <v>1</v>
      </c>
      <c r="F73" s="1">
        <v>3</v>
      </c>
      <c r="G73" s="1">
        <v>0</v>
      </c>
      <c r="H73" s="4">
        <f t="shared" ca="1" si="4"/>
        <v>20250</v>
      </c>
      <c r="I73" s="4">
        <f t="shared" ca="1" si="5"/>
        <v>48600</v>
      </c>
      <c r="J73" s="4">
        <f t="shared" ca="1" si="6"/>
        <v>0</v>
      </c>
      <c r="K73" s="4">
        <f t="shared" ca="1" si="7"/>
        <v>68850</v>
      </c>
    </row>
    <row r="74" spans="1:11" x14ac:dyDescent="0.3">
      <c r="A74" s="1">
        <v>73</v>
      </c>
      <c r="B74" s="1">
        <v>8</v>
      </c>
      <c r="C74" s="1">
        <v>40</v>
      </c>
      <c r="D74" s="2">
        <v>44594</v>
      </c>
      <c r="E74" s="1">
        <v>4</v>
      </c>
      <c r="F74" s="1">
        <v>5</v>
      </c>
      <c r="G74" s="1">
        <v>4</v>
      </c>
      <c r="H74" s="4">
        <f t="shared" ca="1" si="4"/>
        <v>102400</v>
      </c>
      <c r="I74" s="4">
        <f t="shared" ca="1" si="5"/>
        <v>102400</v>
      </c>
      <c r="J74" s="4">
        <f t="shared" ca="1" si="6"/>
        <v>61440</v>
      </c>
      <c r="K74" s="4">
        <f t="shared" ca="1" si="7"/>
        <v>266240</v>
      </c>
    </row>
    <row r="75" spans="1:11" x14ac:dyDescent="0.3">
      <c r="A75" s="1">
        <v>74</v>
      </c>
      <c r="B75" s="1">
        <v>20</v>
      </c>
      <c r="C75" s="1">
        <v>30</v>
      </c>
      <c r="D75" s="2">
        <v>44595</v>
      </c>
      <c r="E75" s="1">
        <v>2</v>
      </c>
      <c r="F75" s="1">
        <v>0</v>
      </c>
      <c r="G75" s="1">
        <v>1</v>
      </c>
      <c r="H75" s="4">
        <f t="shared" ca="1" si="4"/>
        <v>33600</v>
      </c>
      <c r="I75" s="4">
        <f t="shared" ca="1" si="5"/>
        <v>0</v>
      </c>
      <c r="J75" s="4">
        <f t="shared" ca="1" si="6"/>
        <v>10080</v>
      </c>
      <c r="K75" s="4">
        <f t="shared" ca="1" si="7"/>
        <v>43680</v>
      </c>
    </row>
    <row r="76" spans="1:11" x14ac:dyDescent="0.3">
      <c r="A76" s="1">
        <v>75</v>
      </c>
      <c r="B76" s="1">
        <v>3</v>
      </c>
      <c r="C76" s="1">
        <v>14</v>
      </c>
      <c r="D76" s="2">
        <v>44595</v>
      </c>
      <c r="E76" s="1">
        <v>0</v>
      </c>
      <c r="F76" s="1">
        <v>0</v>
      </c>
      <c r="G76" s="1">
        <v>3</v>
      </c>
      <c r="H76" s="4">
        <f t="shared" ca="1" si="4"/>
        <v>0</v>
      </c>
      <c r="I76" s="4">
        <f t="shared" ca="1" si="5"/>
        <v>0</v>
      </c>
      <c r="J76" s="4">
        <f t="shared" ca="1" si="6"/>
        <v>50400</v>
      </c>
      <c r="K76" s="4">
        <f t="shared" ca="1" si="7"/>
        <v>50400</v>
      </c>
    </row>
    <row r="77" spans="1:11" x14ac:dyDescent="0.3">
      <c r="A77" s="1">
        <v>76</v>
      </c>
      <c r="B77" s="1">
        <v>1</v>
      </c>
      <c r="C77" s="1">
        <v>54</v>
      </c>
      <c r="D77" s="2">
        <v>44596</v>
      </c>
      <c r="E77" s="1">
        <v>3</v>
      </c>
      <c r="F77" s="1">
        <v>4</v>
      </c>
      <c r="G77" s="1">
        <v>5</v>
      </c>
      <c r="H77" s="4">
        <f t="shared" ca="1" si="4"/>
        <v>66420</v>
      </c>
      <c r="I77" s="4">
        <f t="shared" ca="1" si="5"/>
        <v>70848</v>
      </c>
      <c r="J77" s="4">
        <f t="shared" ca="1" si="6"/>
        <v>66420</v>
      </c>
      <c r="K77" s="4">
        <f t="shared" ca="1" si="7"/>
        <v>203688</v>
      </c>
    </row>
    <row r="78" spans="1:11" x14ac:dyDescent="0.3">
      <c r="A78" s="1">
        <v>77</v>
      </c>
      <c r="B78" s="1">
        <v>12</v>
      </c>
      <c r="C78" s="1">
        <v>50</v>
      </c>
      <c r="D78" s="2">
        <v>44597</v>
      </c>
      <c r="E78" s="1">
        <v>5</v>
      </c>
      <c r="F78" s="1">
        <v>2</v>
      </c>
      <c r="G78" s="1">
        <v>2</v>
      </c>
      <c r="H78" s="4">
        <f t="shared" ca="1" si="4"/>
        <v>171000</v>
      </c>
      <c r="I78" s="4">
        <f t="shared" ca="1" si="5"/>
        <v>54720</v>
      </c>
      <c r="J78" s="4">
        <f t="shared" ca="1" si="6"/>
        <v>41040</v>
      </c>
      <c r="K78" s="4">
        <f t="shared" ca="1" si="7"/>
        <v>266760</v>
      </c>
    </row>
    <row r="79" spans="1:11" x14ac:dyDescent="0.3">
      <c r="A79" s="1">
        <v>78</v>
      </c>
      <c r="B79" s="1">
        <v>19</v>
      </c>
      <c r="C79" s="1">
        <v>18</v>
      </c>
      <c r="D79" s="2">
        <v>44597</v>
      </c>
      <c r="E79" s="1">
        <v>1</v>
      </c>
      <c r="F79" s="1">
        <v>0</v>
      </c>
      <c r="G79" s="1">
        <v>0</v>
      </c>
      <c r="H79" s="4">
        <f t="shared" ca="1" si="4"/>
        <v>26100</v>
      </c>
      <c r="I79" s="4">
        <f t="shared" ca="1" si="5"/>
        <v>0</v>
      </c>
      <c r="J79" s="4">
        <f t="shared" ca="1" si="6"/>
        <v>0</v>
      </c>
      <c r="K79" s="4">
        <f t="shared" ca="1" si="7"/>
        <v>26100</v>
      </c>
    </row>
    <row r="80" spans="1:11" x14ac:dyDescent="0.3">
      <c r="A80" s="1">
        <v>79</v>
      </c>
      <c r="B80" s="1">
        <v>16</v>
      </c>
      <c r="C80" s="1">
        <v>40</v>
      </c>
      <c r="D80" s="2">
        <v>44599</v>
      </c>
      <c r="E80" s="1">
        <v>3</v>
      </c>
      <c r="F80" s="1">
        <v>4</v>
      </c>
      <c r="G80" s="1">
        <v>2</v>
      </c>
      <c r="H80" s="4">
        <f t="shared" ca="1" si="4"/>
        <v>76800</v>
      </c>
      <c r="I80" s="4">
        <f t="shared" ca="1" si="5"/>
        <v>81920</v>
      </c>
      <c r="J80" s="4">
        <f t="shared" ca="1" si="6"/>
        <v>30720</v>
      </c>
      <c r="K80" s="4">
        <f t="shared" ca="1" si="7"/>
        <v>189440</v>
      </c>
    </row>
    <row r="81" spans="1:11" x14ac:dyDescent="0.3">
      <c r="A81" s="1">
        <v>80</v>
      </c>
      <c r="B81" s="1">
        <v>2</v>
      </c>
      <c r="C81" s="1">
        <v>43</v>
      </c>
      <c r="D81" s="2">
        <v>44599</v>
      </c>
      <c r="E81" s="1">
        <v>1</v>
      </c>
      <c r="F81" s="1">
        <v>4</v>
      </c>
      <c r="G81" s="1">
        <v>3</v>
      </c>
      <c r="H81" s="4">
        <f t="shared" ca="1" si="4"/>
        <v>21600</v>
      </c>
      <c r="I81" s="4">
        <f t="shared" ca="1" si="5"/>
        <v>69120</v>
      </c>
      <c r="J81" s="4">
        <f t="shared" ca="1" si="6"/>
        <v>38880</v>
      </c>
      <c r="K81" s="4">
        <f t="shared" ca="1" si="7"/>
        <v>129600</v>
      </c>
    </row>
    <row r="82" spans="1:11" x14ac:dyDescent="0.3">
      <c r="A82" s="1">
        <v>81</v>
      </c>
      <c r="B82" s="1">
        <v>10</v>
      </c>
      <c r="C82" s="1">
        <v>42</v>
      </c>
      <c r="D82" s="2">
        <v>44599</v>
      </c>
      <c r="E82" s="1">
        <v>0</v>
      </c>
      <c r="F82" s="1">
        <v>1</v>
      </c>
      <c r="G82" s="1">
        <v>5</v>
      </c>
      <c r="H82" s="4">
        <f t="shared" ca="1" si="4"/>
        <v>0</v>
      </c>
      <c r="I82" s="4">
        <f t="shared" ca="1" si="5"/>
        <v>5760</v>
      </c>
      <c r="J82" s="4">
        <f t="shared" ca="1" si="6"/>
        <v>21600</v>
      </c>
      <c r="K82" s="4">
        <f t="shared" ca="1" si="7"/>
        <v>27360</v>
      </c>
    </row>
    <row r="83" spans="1:11" x14ac:dyDescent="0.3">
      <c r="A83" s="1">
        <v>82</v>
      </c>
      <c r="B83" s="1">
        <v>25</v>
      </c>
      <c r="C83" s="1">
        <v>23</v>
      </c>
      <c r="D83" s="2">
        <v>44600</v>
      </c>
      <c r="E83" s="1">
        <v>0</v>
      </c>
      <c r="F83" s="1">
        <v>2</v>
      </c>
      <c r="G83" s="1">
        <v>5</v>
      </c>
      <c r="H83" s="4">
        <f t="shared" ca="1" si="4"/>
        <v>0</v>
      </c>
      <c r="I83" s="4">
        <f t="shared" ca="1" si="5"/>
        <v>10080</v>
      </c>
      <c r="J83" s="4">
        <f t="shared" ca="1" si="6"/>
        <v>18900</v>
      </c>
      <c r="K83" s="4">
        <f t="shared" ca="1" si="7"/>
        <v>28980</v>
      </c>
    </row>
    <row r="84" spans="1:11" x14ac:dyDescent="0.3">
      <c r="A84" s="1">
        <v>83</v>
      </c>
      <c r="B84" s="1">
        <v>10</v>
      </c>
      <c r="C84" s="1">
        <v>45</v>
      </c>
      <c r="D84" s="2">
        <v>44601</v>
      </c>
      <c r="E84" s="1">
        <v>0</v>
      </c>
      <c r="F84" s="1">
        <v>5</v>
      </c>
      <c r="G84" s="1">
        <v>3</v>
      </c>
      <c r="H84" s="4">
        <f t="shared" ca="1" si="4"/>
        <v>0</v>
      </c>
      <c r="I84" s="4">
        <f t="shared" ca="1" si="5"/>
        <v>79200</v>
      </c>
      <c r="J84" s="4">
        <f t="shared" ca="1" si="6"/>
        <v>35640</v>
      </c>
      <c r="K84" s="4">
        <f t="shared" ca="1" si="7"/>
        <v>114840</v>
      </c>
    </row>
    <row r="85" spans="1:11" x14ac:dyDescent="0.3">
      <c r="A85" s="1">
        <v>84</v>
      </c>
      <c r="B85" s="1">
        <v>7</v>
      </c>
      <c r="C85" s="1">
        <v>57</v>
      </c>
      <c r="D85" s="2">
        <v>44602</v>
      </c>
      <c r="E85" s="1">
        <v>2</v>
      </c>
      <c r="F85" s="1">
        <v>0</v>
      </c>
      <c r="G85" s="1">
        <v>3</v>
      </c>
      <c r="H85" s="4">
        <f t="shared" ca="1" si="4"/>
        <v>40160</v>
      </c>
      <c r="I85" s="4">
        <f t="shared" ca="1" si="5"/>
        <v>0</v>
      </c>
      <c r="J85" s="4">
        <f t="shared" ca="1" si="6"/>
        <v>36144</v>
      </c>
      <c r="K85" s="4">
        <f t="shared" ca="1" si="7"/>
        <v>76304</v>
      </c>
    </row>
    <row r="86" spans="1:11" x14ac:dyDescent="0.3">
      <c r="A86" s="1">
        <v>85</v>
      </c>
      <c r="B86" s="1">
        <v>26</v>
      </c>
      <c r="C86" s="1">
        <v>15</v>
      </c>
      <c r="D86" s="2">
        <v>44604</v>
      </c>
      <c r="E86" s="1">
        <v>4</v>
      </c>
      <c r="F86" s="1">
        <v>1</v>
      </c>
      <c r="G86" s="1">
        <v>1</v>
      </c>
      <c r="H86" s="4">
        <f t="shared" ca="1" si="4"/>
        <v>75600</v>
      </c>
      <c r="I86" s="4">
        <f t="shared" ca="1" si="5"/>
        <v>15120</v>
      </c>
      <c r="J86" s="4">
        <f t="shared" ca="1" si="6"/>
        <v>11340</v>
      </c>
      <c r="K86" s="4">
        <f t="shared" ca="1" si="7"/>
        <v>102060</v>
      </c>
    </row>
    <row r="87" spans="1:11" x14ac:dyDescent="0.3">
      <c r="A87" s="1">
        <v>86</v>
      </c>
      <c r="B87" s="1">
        <v>10</v>
      </c>
      <c r="C87" s="1">
        <v>16</v>
      </c>
      <c r="D87" s="2">
        <v>44604</v>
      </c>
      <c r="E87" s="1">
        <v>3</v>
      </c>
      <c r="F87" s="1">
        <v>5</v>
      </c>
      <c r="G87" s="1">
        <v>4</v>
      </c>
      <c r="H87" s="4">
        <f t="shared" ca="1" si="4"/>
        <v>93600</v>
      </c>
      <c r="I87" s="4">
        <f t="shared" ca="1" si="5"/>
        <v>124800</v>
      </c>
      <c r="J87" s="4">
        <f t="shared" ca="1" si="6"/>
        <v>74880</v>
      </c>
      <c r="K87" s="4">
        <f t="shared" ca="1" si="7"/>
        <v>293280</v>
      </c>
    </row>
    <row r="88" spans="1:11" x14ac:dyDescent="0.3">
      <c r="A88" s="1">
        <v>87</v>
      </c>
      <c r="B88" s="1">
        <v>11</v>
      </c>
      <c r="C88" s="1">
        <v>21</v>
      </c>
      <c r="D88" s="2">
        <v>44605</v>
      </c>
      <c r="E88" s="1">
        <v>5</v>
      </c>
      <c r="F88" s="1">
        <v>5</v>
      </c>
      <c r="G88" s="1">
        <v>1</v>
      </c>
      <c r="H88" s="4">
        <f t="shared" ca="1" si="4"/>
        <v>100000</v>
      </c>
      <c r="I88" s="4">
        <f t="shared" ca="1" si="5"/>
        <v>80000</v>
      </c>
      <c r="J88" s="4">
        <f t="shared" ca="1" si="6"/>
        <v>12000</v>
      </c>
      <c r="K88" s="4">
        <f t="shared" ca="1" si="7"/>
        <v>192000</v>
      </c>
    </row>
    <row r="89" spans="1:11" x14ac:dyDescent="0.3">
      <c r="A89" s="1">
        <v>88</v>
      </c>
      <c r="B89" s="1">
        <v>22</v>
      </c>
      <c r="C89" s="1">
        <v>13</v>
      </c>
      <c r="D89" s="2">
        <v>44605</v>
      </c>
      <c r="E89" s="1">
        <v>1</v>
      </c>
      <c r="F89" s="1">
        <v>3</v>
      </c>
      <c r="G89" s="1">
        <v>2</v>
      </c>
      <c r="H89" s="4">
        <f t="shared" ca="1" si="4"/>
        <v>37600</v>
      </c>
      <c r="I89" s="4">
        <f t="shared" ca="1" si="5"/>
        <v>90240</v>
      </c>
      <c r="J89" s="4">
        <f t="shared" ca="1" si="6"/>
        <v>45120</v>
      </c>
      <c r="K89" s="4">
        <f t="shared" ca="1" si="7"/>
        <v>172960</v>
      </c>
    </row>
    <row r="90" spans="1:11" x14ac:dyDescent="0.3">
      <c r="A90" s="1">
        <v>89</v>
      </c>
      <c r="B90" s="1">
        <v>2</v>
      </c>
      <c r="C90" s="1">
        <v>46</v>
      </c>
      <c r="D90" s="2">
        <v>44606</v>
      </c>
      <c r="E90" s="1">
        <v>5</v>
      </c>
      <c r="F90" s="1">
        <v>2</v>
      </c>
      <c r="G90" s="1">
        <v>2</v>
      </c>
      <c r="H90" s="4">
        <f t="shared" ca="1" si="4"/>
        <v>114000</v>
      </c>
      <c r="I90" s="4">
        <f t="shared" ca="1" si="5"/>
        <v>36480</v>
      </c>
      <c r="J90" s="4">
        <f t="shared" ca="1" si="6"/>
        <v>27360</v>
      </c>
      <c r="K90" s="4">
        <f t="shared" ca="1" si="7"/>
        <v>177840</v>
      </c>
    </row>
    <row r="91" spans="1:11" x14ac:dyDescent="0.3">
      <c r="A91" s="1">
        <v>90</v>
      </c>
      <c r="B91" s="1">
        <v>4</v>
      </c>
      <c r="C91" s="1">
        <v>32</v>
      </c>
      <c r="D91" s="2">
        <v>44606</v>
      </c>
      <c r="E91" s="1">
        <v>2</v>
      </c>
      <c r="F91" s="1">
        <v>2</v>
      </c>
      <c r="G91" s="1">
        <v>0</v>
      </c>
      <c r="H91" s="4">
        <f t="shared" ca="1" si="4"/>
        <v>51000</v>
      </c>
      <c r="I91" s="4">
        <f t="shared" ca="1" si="5"/>
        <v>40800</v>
      </c>
      <c r="J91" s="4">
        <f t="shared" ca="1" si="6"/>
        <v>0</v>
      </c>
      <c r="K91" s="4">
        <f t="shared" ca="1" si="7"/>
        <v>91800</v>
      </c>
    </row>
    <row r="92" spans="1:11" x14ac:dyDescent="0.3">
      <c r="A92" s="1">
        <v>91</v>
      </c>
      <c r="B92" s="1">
        <v>13</v>
      </c>
      <c r="C92" s="1">
        <v>38</v>
      </c>
      <c r="D92" s="2">
        <v>44606</v>
      </c>
      <c r="E92" s="1">
        <v>3</v>
      </c>
      <c r="F92" s="1">
        <v>3</v>
      </c>
      <c r="G92" s="1">
        <v>2</v>
      </c>
      <c r="H92" s="4">
        <f t="shared" ca="1" si="4"/>
        <v>21600</v>
      </c>
      <c r="I92" s="4">
        <f t="shared" ca="1" si="5"/>
        <v>17280</v>
      </c>
      <c r="J92" s="4">
        <f t="shared" ca="1" si="6"/>
        <v>8640</v>
      </c>
      <c r="K92" s="4">
        <f t="shared" ca="1" si="7"/>
        <v>47520</v>
      </c>
    </row>
    <row r="93" spans="1:11" x14ac:dyDescent="0.3">
      <c r="A93" s="1">
        <v>92</v>
      </c>
      <c r="B93" s="1">
        <v>13</v>
      </c>
      <c r="C93" s="1">
        <v>49</v>
      </c>
      <c r="D93" s="2">
        <v>44607</v>
      </c>
      <c r="E93" s="1">
        <v>2</v>
      </c>
      <c r="F93" s="1">
        <v>5</v>
      </c>
      <c r="G93" s="1">
        <v>3</v>
      </c>
      <c r="H93" s="4">
        <f t="shared" ca="1" si="4"/>
        <v>62400</v>
      </c>
      <c r="I93" s="4">
        <f t="shared" ca="1" si="5"/>
        <v>124800</v>
      </c>
      <c r="J93" s="4">
        <f t="shared" ca="1" si="6"/>
        <v>56160</v>
      </c>
      <c r="K93" s="4">
        <f t="shared" ca="1" si="7"/>
        <v>243360</v>
      </c>
    </row>
    <row r="94" spans="1:11" x14ac:dyDescent="0.3">
      <c r="A94" s="1">
        <v>93</v>
      </c>
      <c r="B94" s="1">
        <v>24</v>
      </c>
      <c r="C94" s="1">
        <v>36</v>
      </c>
      <c r="D94" s="2">
        <v>44608</v>
      </c>
      <c r="E94" s="1">
        <v>4</v>
      </c>
      <c r="F94" s="1">
        <v>0</v>
      </c>
      <c r="G94" s="1">
        <v>3</v>
      </c>
      <c r="H94" s="4">
        <f t="shared" ca="1" si="4"/>
        <v>81000</v>
      </c>
      <c r="I94" s="4">
        <f t="shared" ca="1" si="5"/>
        <v>0</v>
      </c>
      <c r="J94" s="4">
        <f t="shared" ca="1" si="6"/>
        <v>36450</v>
      </c>
      <c r="K94" s="4">
        <f t="shared" ca="1" si="7"/>
        <v>117450</v>
      </c>
    </row>
    <row r="95" spans="1:11" x14ac:dyDescent="0.3">
      <c r="A95" s="1">
        <v>94</v>
      </c>
      <c r="B95" s="1">
        <v>25</v>
      </c>
      <c r="C95" s="1">
        <v>19</v>
      </c>
      <c r="D95" s="2">
        <v>44609</v>
      </c>
      <c r="E95" s="1">
        <v>2</v>
      </c>
      <c r="F95" s="1">
        <v>5</v>
      </c>
      <c r="G95" s="1">
        <v>3</v>
      </c>
      <c r="H95" s="4">
        <f t="shared" ca="1" si="4"/>
        <v>37800</v>
      </c>
      <c r="I95" s="4">
        <f t="shared" ca="1" si="5"/>
        <v>75600</v>
      </c>
      <c r="J95" s="4">
        <f t="shared" ca="1" si="6"/>
        <v>34020</v>
      </c>
      <c r="K95" s="4">
        <f t="shared" ca="1" si="7"/>
        <v>147420</v>
      </c>
    </row>
    <row r="96" spans="1:11" x14ac:dyDescent="0.3">
      <c r="A96" s="1">
        <v>95</v>
      </c>
      <c r="B96" s="1">
        <v>4</v>
      </c>
      <c r="C96" s="1">
        <v>22</v>
      </c>
      <c r="D96" s="2">
        <v>44609</v>
      </c>
      <c r="E96" s="1">
        <v>4</v>
      </c>
      <c r="F96" s="1">
        <v>3</v>
      </c>
      <c r="G96" s="1">
        <v>3</v>
      </c>
      <c r="H96" s="4">
        <f t="shared" ca="1" si="4"/>
        <v>50400</v>
      </c>
      <c r="I96" s="4">
        <f t="shared" ca="1" si="5"/>
        <v>30240</v>
      </c>
      <c r="J96" s="4">
        <f t="shared" ca="1" si="6"/>
        <v>22680</v>
      </c>
      <c r="K96" s="4">
        <f t="shared" ca="1" si="7"/>
        <v>103320</v>
      </c>
    </row>
    <row r="97" spans="1:11" x14ac:dyDescent="0.3">
      <c r="A97" s="1">
        <v>96</v>
      </c>
      <c r="B97" s="1">
        <v>13</v>
      </c>
      <c r="C97" s="1">
        <v>29</v>
      </c>
      <c r="D97" s="2">
        <v>44609</v>
      </c>
      <c r="E97" s="1">
        <v>3</v>
      </c>
      <c r="F97" s="1">
        <v>3</v>
      </c>
      <c r="G97" s="1">
        <v>2</v>
      </c>
      <c r="H97" s="4">
        <f t="shared" ca="1" si="4"/>
        <v>33600</v>
      </c>
      <c r="I97" s="4">
        <f t="shared" ca="1" si="5"/>
        <v>26880</v>
      </c>
      <c r="J97" s="4">
        <f t="shared" ca="1" si="6"/>
        <v>13440</v>
      </c>
      <c r="K97" s="4">
        <f t="shared" ca="1" si="7"/>
        <v>73920</v>
      </c>
    </row>
    <row r="98" spans="1:11" x14ac:dyDescent="0.3">
      <c r="A98" s="1">
        <v>97</v>
      </c>
      <c r="B98" s="1">
        <v>3</v>
      </c>
      <c r="C98" s="1">
        <v>10</v>
      </c>
      <c r="D98" s="2">
        <v>44609</v>
      </c>
      <c r="E98" s="1">
        <v>2</v>
      </c>
      <c r="F98" s="1">
        <v>3</v>
      </c>
      <c r="G98" s="1">
        <v>2</v>
      </c>
      <c r="H98" s="4">
        <f t="shared" ca="1" si="4"/>
        <v>44800</v>
      </c>
      <c r="I98" s="4">
        <f t="shared" ca="1" si="5"/>
        <v>53760</v>
      </c>
      <c r="J98" s="4">
        <f t="shared" ca="1" si="6"/>
        <v>26880</v>
      </c>
      <c r="K98" s="4">
        <f t="shared" ca="1" si="7"/>
        <v>125440</v>
      </c>
    </row>
    <row r="99" spans="1:11" x14ac:dyDescent="0.3">
      <c r="A99" s="1">
        <v>98</v>
      </c>
      <c r="B99" s="1">
        <v>9</v>
      </c>
      <c r="C99" s="1">
        <v>47</v>
      </c>
      <c r="D99" s="2">
        <v>44609</v>
      </c>
      <c r="E99" s="1">
        <v>5</v>
      </c>
      <c r="F99" s="1">
        <v>2</v>
      </c>
      <c r="G99" s="1">
        <v>2</v>
      </c>
      <c r="H99" s="4">
        <f t="shared" ca="1" si="4"/>
        <v>58500</v>
      </c>
      <c r="I99" s="4">
        <f t="shared" ca="1" si="5"/>
        <v>18720</v>
      </c>
      <c r="J99" s="4">
        <f t="shared" ca="1" si="6"/>
        <v>14040</v>
      </c>
      <c r="K99" s="4">
        <f t="shared" ca="1" si="7"/>
        <v>91260</v>
      </c>
    </row>
    <row r="100" spans="1:11" x14ac:dyDescent="0.3">
      <c r="A100" s="1">
        <v>99</v>
      </c>
      <c r="B100" s="1">
        <v>12</v>
      </c>
      <c r="C100" s="1">
        <v>55</v>
      </c>
      <c r="D100" s="2">
        <v>44609</v>
      </c>
      <c r="E100" s="1">
        <v>3</v>
      </c>
      <c r="F100" s="1">
        <v>4</v>
      </c>
      <c r="G100" s="1">
        <v>1</v>
      </c>
      <c r="H100" s="4">
        <f t="shared" ca="1" si="4"/>
        <v>44280</v>
      </c>
      <c r="I100" s="4">
        <f t="shared" ca="1" si="5"/>
        <v>47232</v>
      </c>
      <c r="J100" s="4">
        <f t="shared" ca="1" si="6"/>
        <v>8856</v>
      </c>
      <c r="K100" s="4">
        <f t="shared" ca="1" si="7"/>
        <v>100368</v>
      </c>
    </row>
    <row r="101" spans="1:11" x14ac:dyDescent="0.3">
      <c r="A101" s="1">
        <v>100</v>
      </c>
      <c r="B101" s="1">
        <v>10</v>
      </c>
      <c r="C101" s="1">
        <v>21</v>
      </c>
      <c r="D101" s="2">
        <v>44611</v>
      </c>
      <c r="E101" s="1">
        <v>5</v>
      </c>
      <c r="F101" s="1">
        <v>1</v>
      </c>
      <c r="G101" s="1">
        <v>2</v>
      </c>
      <c r="H101" s="4">
        <f t="shared" ca="1" si="4"/>
        <v>100000</v>
      </c>
      <c r="I101" s="4">
        <f t="shared" ca="1" si="5"/>
        <v>16000</v>
      </c>
      <c r="J101" s="4">
        <f t="shared" ca="1" si="6"/>
        <v>24000</v>
      </c>
      <c r="K101" s="4">
        <f t="shared" ca="1" si="7"/>
        <v>140000</v>
      </c>
    </row>
    <row r="102" spans="1:11" x14ac:dyDescent="0.3">
      <c r="A102" s="1">
        <v>101</v>
      </c>
      <c r="B102" s="1">
        <v>1</v>
      </c>
      <c r="C102" s="1">
        <v>48</v>
      </c>
      <c r="D102" s="2">
        <v>44611</v>
      </c>
      <c r="E102" s="1">
        <v>5</v>
      </c>
      <c r="F102" s="1">
        <v>5</v>
      </c>
      <c r="G102" s="1">
        <v>4</v>
      </c>
      <c r="H102" s="4">
        <f t="shared" ca="1" si="4"/>
        <v>92000</v>
      </c>
      <c r="I102" s="4">
        <f t="shared" ca="1" si="5"/>
        <v>73600</v>
      </c>
      <c r="J102" s="4">
        <f t="shared" ca="1" si="6"/>
        <v>44160</v>
      </c>
      <c r="K102" s="4">
        <f t="shared" ca="1" si="7"/>
        <v>209760</v>
      </c>
    </row>
    <row r="103" spans="1:11" x14ac:dyDescent="0.3">
      <c r="A103" s="1">
        <v>102</v>
      </c>
      <c r="B103" s="1">
        <v>10</v>
      </c>
      <c r="C103" s="1">
        <v>52</v>
      </c>
      <c r="D103" s="2">
        <v>44612</v>
      </c>
      <c r="E103" s="1">
        <v>3</v>
      </c>
      <c r="F103" s="1">
        <v>1</v>
      </c>
      <c r="G103" s="1">
        <v>5</v>
      </c>
      <c r="H103" s="4">
        <f t="shared" ca="1" si="4"/>
        <v>48600</v>
      </c>
      <c r="I103" s="4">
        <f t="shared" ca="1" si="5"/>
        <v>12960</v>
      </c>
      <c r="J103" s="4">
        <f t="shared" ca="1" si="6"/>
        <v>48600</v>
      </c>
      <c r="K103" s="4">
        <f t="shared" ca="1" si="7"/>
        <v>110160</v>
      </c>
    </row>
    <row r="104" spans="1:11" x14ac:dyDescent="0.3">
      <c r="A104" s="1">
        <v>103</v>
      </c>
      <c r="B104" s="1">
        <v>22</v>
      </c>
      <c r="C104" s="1">
        <v>41</v>
      </c>
      <c r="D104" s="2">
        <v>44612</v>
      </c>
      <c r="E104" s="1">
        <v>1</v>
      </c>
      <c r="F104" s="1">
        <v>3</v>
      </c>
      <c r="G104" s="1">
        <v>4</v>
      </c>
      <c r="H104" s="4">
        <f t="shared" ca="1" si="4"/>
        <v>33600</v>
      </c>
      <c r="I104" s="4">
        <f t="shared" ca="1" si="5"/>
        <v>80640</v>
      </c>
      <c r="J104" s="4">
        <f t="shared" ca="1" si="6"/>
        <v>80640</v>
      </c>
      <c r="K104" s="4">
        <f t="shared" ca="1" si="7"/>
        <v>194880</v>
      </c>
    </row>
    <row r="105" spans="1:11" x14ac:dyDescent="0.3">
      <c r="A105" s="1">
        <v>104</v>
      </c>
      <c r="B105" s="1">
        <v>21</v>
      </c>
      <c r="C105" s="1">
        <v>4</v>
      </c>
      <c r="D105" s="2">
        <v>44613</v>
      </c>
      <c r="E105" s="1">
        <v>1</v>
      </c>
      <c r="F105" s="1">
        <v>2</v>
      </c>
      <c r="G105" s="1">
        <v>0</v>
      </c>
      <c r="H105" s="4">
        <f t="shared" ca="1" si="4"/>
        <v>31620</v>
      </c>
      <c r="I105" s="4">
        <f t="shared" ca="1" si="5"/>
        <v>50592</v>
      </c>
      <c r="J105" s="4">
        <f t="shared" ca="1" si="6"/>
        <v>0</v>
      </c>
      <c r="K105" s="4">
        <f t="shared" ca="1" si="7"/>
        <v>82212</v>
      </c>
    </row>
    <row r="106" spans="1:11" x14ac:dyDescent="0.3">
      <c r="A106" s="1">
        <v>105</v>
      </c>
      <c r="B106" s="1">
        <v>10</v>
      </c>
      <c r="C106" s="1">
        <v>50</v>
      </c>
      <c r="D106" s="2">
        <v>44613</v>
      </c>
      <c r="E106" s="1">
        <v>0</v>
      </c>
      <c r="F106" s="1">
        <v>3</v>
      </c>
      <c r="G106" s="1">
        <v>1</v>
      </c>
      <c r="H106" s="4">
        <f t="shared" ca="1" si="4"/>
        <v>0</v>
      </c>
      <c r="I106" s="4">
        <f t="shared" ca="1" si="5"/>
        <v>82080</v>
      </c>
      <c r="J106" s="4">
        <f t="shared" ca="1" si="6"/>
        <v>20520</v>
      </c>
      <c r="K106" s="4">
        <f t="shared" ca="1" si="7"/>
        <v>102600</v>
      </c>
    </row>
    <row r="107" spans="1:11" x14ac:dyDescent="0.3">
      <c r="A107" s="1">
        <v>106</v>
      </c>
      <c r="B107" s="1">
        <v>24</v>
      </c>
      <c r="C107" s="1">
        <v>51</v>
      </c>
      <c r="D107" s="2">
        <v>44613</v>
      </c>
      <c r="E107" s="1">
        <v>4</v>
      </c>
      <c r="F107" s="1">
        <v>0</v>
      </c>
      <c r="G107" s="1">
        <v>0</v>
      </c>
      <c r="H107" s="4">
        <f t="shared" ca="1" si="4"/>
        <v>39600</v>
      </c>
      <c r="I107" s="4">
        <f t="shared" ca="1" si="5"/>
        <v>0</v>
      </c>
      <c r="J107" s="4">
        <f t="shared" ca="1" si="6"/>
        <v>0</v>
      </c>
      <c r="K107" s="4">
        <f t="shared" ca="1" si="7"/>
        <v>39600</v>
      </c>
    </row>
    <row r="108" spans="1:11" x14ac:dyDescent="0.3">
      <c r="A108" s="1">
        <v>107</v>
      </c>
      <c r="B108" s="1">
        <v>19</v>
      </c>
      <c r="C108" s="1">
        <v>13</v>
      </c>
      <c r="D108" s="2">
        <v>44613</v>
      </c>
      <c r="E108" s="1">
        <v>4</v>
      </c>
      <c r="F108" s="1">
        <v>2</v>
      </c>
      <c r="G108" s="1">
        <v>5</v>
      </c>
      <c r="H108" s="4">
        <f t="shared" ca="1" si="4"/>
        <v>150400</v>
      </c>
      <c r="I108" s="4">
        <f t="shared" ca="1" si="5"/>
        <v>60160</v>
      </c>
      <c r="J108" s="4">
        <f t="shared" ca="1" si="6"/>
        <v>112800</v>
      </c>
      <c r="K108" s="4">
        <f t="shared" ca="1" si="7"/>
        <v>323360</v>
      </c>
    </row>
    <row r="109" spans="1:11" x14ac:dyDescent="0.3">
      <c r="A109" s="1">
        <v>108</v>
      </c>
      <c r="B109" s="1">
        <v>10</v>
      </c>
      <c r="C109" s="1">
        <v>11</v>
      </c>
      <c r="D109" s="2">
        <v>44615</v>
      </c>
      <c r="E109" s="1">
        <v>0</v>
      </c>
      <c r="F109" s="1">
        <v>1</v>
      </c>
      <c r="G109" s="1">
        <v>1</v>
      </c>
      <c r="H109" s="4">
        <f t="shared" ca="1" si="4"/>
        <v>0</v>
      </c>
      <c r="I109" s="4">
        <f t="shared" ca="1" si="5"/>
        <v>17280</v>
      </c>
      <c r="J109" s="4">
        <f t="shared" ca="1" si="6"/>
        <v>12960</v>
      </c>
      <c r="K109" s="4">
        <f t="shared" ca="1" si="7"/>
        <v>30240</v>
      </c>
    </row>
    <row r="110" spans="1:11" x14ac:dyDescent="0.3">
      <c r="A110" s="1">
        <v>109</v>
      </c>
      <c r="B110" s="1">
        <v>6</v>
      </c>
      <c r="C110" s="1">
        <v>19</v>
      </c>
      <c r="D110" s="2">
        <v>44615</v>
      </c>
      <c r="E110" s="1">
        <v>0</v>
      </c>
      <c r="F110" s="1">
        <v>2</v>
      </c>
      <c r="G110" s="1">
        <v>0</v>
      </c>
      <c r="H110" s="4">
        <f t="shared" ca="1" si="4"/>
        <v>0</v>
      </c>
      <c r="I110" s="4">
        <f t="shared" ca="1" si="5"/>
        <v>30240</v>
      </c>
      <c r="J110" s="4">
        <f t="shared" ca="1" si="6"/>
        <v>0</v>
      </c>
      <c r="K110" s="4">
        <f t="shared" ca="1" si="7"/>
        <v>30240</v>
      </c>
    </row>
    <row r="111" spans="1:11" x14ac:dyDescent="0.3">
      <c r="A111" s="1">
        <v>110</v>
      </c>
      <c r="B111" s="1">
        <v>25</v>
      </c>
      <c r="C111" s="1">
        <v>56</v>
      </c>
      <c r="D111" s="2">
        <v>44617</v>
      </c>
      <c r="E111" s="1">
        <v>3</v>
      </c>
      <c r="F111" s="1">
        <v>0</v>
      </c>
      <c r="G111" s="1">
        <v>0</v>
      </c>
      <c r="H111" s="4">
        <f t="shared" ca="1" si="4"/>
        <v>67230</v>
      </c>
      <c r="I111" s="4">
        <f t="shared" ca="1" si="5"/>
        <v>0</v>
      </c>
      <c r="J111" s="4">
        <f t="shared" ca="1" si="6"/>
        <v>0</v>
      </c>
      <c r="K111" s="4">
        <f t="shared" ca="1" si="7"/>
        <v>67230</v>
      </c>
    </row>
    <row r="112" spans="1:11" x14ac:dyDescent="0.3">
      <c r="A112" s="1">
        <v>111</v>
      </c>
      <c r="B112" s="1">
        <v>6</v>
      </c>
      <c r="C112" s="1">
        <v>56</v>
      </c>
      <c r="D112" s="2">
        <v>44617</v>
      </c>
      <c r="E112" s="1">
        <v>4</v>
      </c>
      <c r="F112" s="1">
        <v>3</v>
      </c>
      <c r="G112" s="1">
        <v>2</v>
      </c>
      <c r="H112" s="4">
        <f t="shared" ca="1" si="4"/>
        <v>89640</v>
      </c>
      <c r="I112" s="4">
        <f t="shared" ca="1" si="5"/>
        <v>53784</v>
      </c>
      <c r="J112" s="4">
        <f t="shared" ca="1" si="6"/>
        <v>26892</v>
      </c>
      <c r="K112" s="4">
        <f t="shared" ca="1" si="7"/>
        <v>170316</v>
      </c>
    </row>
    <row r="113" spans="1:11" x14ac:dyDescent="0.3">
      <c r="A113" s="1">
        <v>112</v>
      </c>
      <c r="B113" s="1">
        <v>18</v>
      </c>
      <c r="C113" s="1">
        <v>8</v>
      </c>
      <c r="D113" s="2">
        <v>44617</v>
      </c>
      <c r="E113" s="1">
        <v>4</v>
      </c>
      <c r="F113" s="1">
        <v>3</v>
      </c>
      <c r="G113" s="1">
        <v>0</v>
      </c>
      <c r="H113" s="4">
        <f t="shared" ca="1" si="4"/>
        <v>87680</v>
      </c>
      <c r="I113" s="4">
        <f t="shared" ca="1" si="5"/>
        <v>52608</v>
      </c>
      <c r="J113" s="4">
        <f t="shared" ca="1" si="6"/>
        <v>0</v>
      </c>
      <c r="K113" s="4">
        <f t="shared" ca="1" si="7"/>
        <v>140288</v>
      </c>
    </row>
    <row r="114" spans="1:11" x14ac:dyDescent="0.3">
      <c r="A114" s="1">
        <v>113</v>
      </c>
      <c r="B114" s="1">
        <v>2</v>
      </c>
      <c r="C114" s="1">
        <v>31</v>
      </c>
      <c r="D114" s="2">
        <v>44618</v>
      </c>
      <c r="E114" s="1">
        <v>3</v>
      </c>
      <c r="F114" s="1">
        <v>4</v>
      </c>
      <c r="G114" s="1">
        <v>0</v>
      </c>
      <c r="H114" s="4">
        <f t="shared" ca="1" si="4"/>
        <v>37800</v>
      </c>
      <c r="I114" s="4">
        <f t="shared" ca="1" si="5"/>
        <v>40320</v>
      </c>
      <c r="J114" s="4">
        <f t="shared" ca="1" si="6"/>
        <v>0</v>
      </c>
      <c r="K114" s="4">
        <f t="shared" ca="1" si="7"/>
        <v>78120</v>
      </c>
    </row>
    <row r="115" spans="1:11" x14ac:dyDescent="0.3">
      <c r="A115" s="1">
        <v>114</v>
      </c>
      <c r="B115" s="1">
        <v>17</v>
      </c>
      <c r="C115" s="1">
        <v>28</v>
      </c>
      <c r="D115" s="2">
        <v>44619</v>
      </c>
      <c r="E115" s="1">
        <v>5</v>
      </c>
      <c r="F115" s="1">
        <v>1</v>
      </c>
      <c r="G115" s="1">
        <v>3</v>
      </c>
      <c r="H115" s="4">
        <f t="shared" ca="1" si="4"/>
        <v>58500</v>
      </c>
      <c r="I115" s="4">
        <f t="shared" ca="1" si="5"/>
        <v>9360</v>
      </c>
      <c r="J115" s="4">
        <f t="shared" ca="1" si="6"/>
        <v>21060</v>
      </c>
      <c r="K115" s="4">
        <f t="shared" ca="1" si="7"/>
        <v>88920</v>
      </c>
    </row>
    <row r="116" spans="1:11" x14ac:dyDescent="0.3">
      <c r="A116" s="1">
        <v>115</v>
      </c>
      <c r="B116" s="1">
        <v>21</v>
      </c>
      <c r="C116" s="1">
        <v>28</v>
      </c>
      <c r="D116" s="2">
        <v>44619</v>
      </c>
      <c r="E116" s="1">
        <v>0</v>
      </c>
      <c r="F116" s="1">
        <v>1</v>
      </c>
      <c r="G116" s="1">
        <v>4</v>
      </c>
      <c r="H116" s="4">
        <f t="shared" ca="1" si="4"/>
        <v>0</v>
      </c>
      <c r="I116" s="4">
        <f t="shared" ca="1" si="5"/>
        <v>9360</v>
      </c>
      <c r="J116" s="4">
        <f t="shared" ca="1" si="6"/>
        <v>28080</v>
      </c>
      <c r="K116" s="4">
        <f t="shared" ca="1" si="7"/>
        <v>37440</v>
      </c>
    </row>
    <row r="117" spans="1:11" x14ac:dyDescent="0.3">
      <c r="A117" s="1">
        <v>116</v>
      </c>
      <c r="B117" s="1">
        <v>5</v>
      </c>
      <c r="C117" s="1">
        <v>53</v>
      </c>
      <c r="D117" s="2">
        <v>44620</v>
      </c>
      <c r="E117" s="1">
        <v>0</v>
      </c>
      <c r="F117" s="1">
        <v>1</v>
      </c>
      <c r="G117" s="1">
        <v>3</v>
      </c>
      <c r="H117" s="4">
        <f t="shared" ca="1" si="4"/>
        <v>0</v>
      </c>
      <c r="I117" s="4">
        <f t="shared" ca="1" si="5"/>
        <v>14720</v>
      </c>
      <c r="J117" s="4">
        <f t="shared" ca="1" si="6"/>
        <v>33120</v>
      </c>
      <c r="K117" s="4">
        <f t="shared" ca="1" si="7"/>
        <v>47840</v>
      </c>
    </row>
    <row r="118" spans="1:11" x14ac:dyDescent="0.3">
      <c r="A118" s="1">
        <v>117</v>
      </c>
      <c r="B118" s="1">
        <v>9</v>
      </c>
      <c r="C118" s="1">
        <v>51</v>
      </c>
      <c r="D118" s="2">
        <v>44620</v>
      </c>
      <c r="E118" s="1">
        <v>2</v>
      </c>
      <c r="F118" s="1">
        <v>4</v>
      </c>
      <c r="G118" s="1">
        <v>0</v>
      </c>
      <c r="H118" s="4">
        <f t="shared" ca="1" si="4"/>
        <v>19800</v>
      </c>
      <c r="I118" s="4">
        <f t="shared" ca="1" si="5"/>
        <v>31680</v>
      </c>
      <c r="J118" s="4">
        <f t="shared" ca="1" si="6"/>
        <v>0</v>
      </c>
      <c r="K118" s="4">
        <f t="shared" ca="1" si="7"/>
        <v>51480</v>
      </c>
    </row>
    <row r="119" spans="1:11" x14ac:dyDescent="0.3">
      <c r="A119" s="1">
        <v>118</v>
      </c>
      <c r="B119" s="1">
        <v>4</v>
      </c>
      <c r="C119" s="1">
        <v>5</v>
      </c>
      <c r="D119" s="2">
        <v>44621</v>
      </c>
      <c r="E119" s="1">
        <v>5</v>
      </c>
      <c r="F119" s="1">
        <v>4</v>
      </c>
      <c r="G119" s="1">
        <v>5</v>
      </c>
      <c r="H119" s="4">
        <f t="shared" ca="1" si="4"/>
        <v>117600</v>
      </c>
      <c r="I119" s="4">
        <f t="shared" ca="1" si="5"/>
        <v>75264</v>
      </c>
      <c r="J119" s="4">
        <f t="shared" ca="1" si="6"/>
        <v>70560</v>
      </c>
      <c r="K119" s="4">
        <f t="shared" ca="1" si="7"/>
        <v>263424</v>
      </c>
    </row>
    <row r="120" spans="1:11" x14ac:dyDescent="0.3">
      <c r="A120" s="1">
        <v>119</v>
      </c>
      <c r="B120" s="1">
        <v>17</v>
      </c>
      <c r="C120" s="1">
        <v>50</v>
      </c>
      <c r="D120" s="2">
        <v>44621</v>
      </c>
      <c r="E120" s="1">
        <v>4</v>
      </c>
      <c r="F120" s="1">
        <v>4</v>
      </c>
      <c r="G120" s="1">
        <v>5</v>
      </c>
      <c r="H120" s="4">
        <f t="shared" ca="1" si="4"/>
        <v>136800</v>
      </c>
      <c r="I120" s="4">
        <f t="shared" ca="1" si="5"/>
        <v>109440</v>
      </c>
      <c r="J120" s="4">
        <f t="shared" ca="1" si="6"/>
        <v>102600</v>
      </c>
      <c r="K120" s="4">
        <f t="shared" ca="1" si="7"/>
        <v>348840</v>
      </c>
    </row>
    <row r="121" spans="1:11" x14ac:dyDescent="0.3">
      <c r="A121" s="1">
        <v>120</v>
      </c>
      <c r="B121" s="1">
        <v>5</v>
      </c>
      <c r="C121" s="1">
        <v>50</v>
      </c>
      <c r="D121" s="2">
        <v>44622</v>
      </c>
      <c r="E121" s="1">
        <v>0</v>
      </c>
      <c r="F121" s="1">
        <v>0</v>
      </c>
      <c r="G121" s="1">
        <v>3</v>
      </c>
      <c r="H121" s="4">
        <f t="shared" ca="1" si="4"/>
        <v>0</v>
      </c>
      <c r="I121" s="4">
        <f t="shared" ca="1" si="5"/>
        <v>0</v>
      </c>
      <c r="J121" s="4">
        <f t="shared" ca="1" si="6"/>
        <v>61560</v>
      </c>
      <c r="K121" s="4">
        <f t="shared" ca="1" si="7"/>
        <v>61560</v>
      </c>
    </row>
    <row r="122" spans="1:11" x14ac:dyDescent="0.3">
      <c r="A122" s="1">
        <v>121</v>
      </c>
      <c r="B122" s="1">
        <v>9</v>
      </c>
      <c r="C122" s="1">
        <v>48</v>
      </c>
      <c r="D122" s="2">
        <v>44623</v>
      </c>
      <c r="E122" s="1">
        <v>2</v>
      </c>
      <c r="F122" s="1">
        <v>3</v>
      </c>
      <c r="G122" s="1">
        <v>5</v>
      </c>
      <c r="H122" s="4">
        <f t="shared" ca="1" si="4"/>
        <v>36800</v>
      </c>
      <c r="I122" s="4">
        <f t="shared" ca="1" si="5"/>
        <v>44160</v>
      </c>
      <c r="J122" s="4">
        <f t="shared" ca="1" si="6"/>
        <v>55200</v>
      </c>
      <c r="K122" s="4">
        <f t="shared" ca="1" si="7"/>
        <v>136160</v>
      </c>
    </row>
    <row r="123" spans="1:11" x14ac:dyDescent="0.3">
      <c r="A123" s="1">
        <v>122</v>
      </c>
      <c r="B123" s="1">
        <v>23</v>
      </c>
      <c r="C123" s="1">
        <v>31</v>
      </c>
      <c r="D123" s="2">
        <v>44623</v>
      </c>
      <c r="E123" s="1">
        <v>4</v>
      </c>
      <c r="F123" s="1">
        <v>2</v>
      </c>
      <c r="G123" s="1">
        <v>0</v>
      </c>
      <c r="H123" s="4">
        <f t="shared" ca="1" si="4"/>
        <v>50400</v>
      </c>
      <c r="I123" s="4">
        <f t="shared" ca="1" si="5"/>
        <v>20160</v>
      </c>
      <c r="J123" s="4">
        <f t="shared" ca="1" si="6"/>
        <v>0</v>
      </c>
      <c r="K123" s="4">
        <f t="shared" ca="1" si="7"/>
        <v>70560</v>
      </c>
    </row>
    <row r="124" spans="1:11" x14ac:dyDescent="0.3">
      <c r="A124" s="1">
        <v>123</v>
      </c>
      <c r="B124" s="1">
        <v>14</v>
      </c>
      <c r="C124" s="1">
        <v>43</v>
      </c>
      <c r="D124" s="2">
        <v>44623</v>
      </c>
      <c r="E124" s="1">
        <v>5</v>
      </c>
      <c r="F124" s="1">
        <v>2</v>
      </c>
      <c r="G124" s="1">
        <v>0</v>
      </c>
      <c r="H124" s="4">
        <f t="shared" ca="1" si="4"/>
        <v>108000</v>
      </c>
      <c r="I124" s="4">
        <f t="shared" ca="1" si="5"/>
        <v>34560</v>
      </c>
      <c r="J124" s="4">
        <f t="shared" ca="1" si="6"/>
        <v>0</v>
      </c>
      <c r="K124" s="4">
        <f t="shared" ca="1" si="7"/>
        <v>142560</v>
      </c>
    </row>
    <row r="125" spans="1:11" x14ac:dyDescent="0.3">
      <c r="A125" s="1">
        <v>124</v>
      </c>
      <c r="B125" s="1">
        <v>6</v>
      </c>
      <c r="C125" s="1">
        <v>1</v>
      </c>
      <c r="D125" s="2">
        <v>44624</v>
      </c>
      <c r="E125" s="1">
        <v>1</v>
      </c>
      <c r="F125" s="1">
        <v>5</v>
      </c>
      <c r="G125" s="1">
        <v>0</v>
      </c>
      <c r="H125" s="4">
        <f t="shared" ca="1" si="4"/>
        <v>18720</v>
      </c>
      <c r="I125" s="4">
        <f t="shared" ca="1" si="5"/>
        <v>74880</v>
      </c>
      <c r="J125" s="4">
        <f t="shared" ca="1" si="6"/>
        <v>0</v>
      </c>
      <c r="K125" s="4">
        <f t="shared" ca="1" si="7"/>
        <v>93600</v>
      </c>
    </row>
    <row r="126" spans="1:11" x14ac:dyDescent="0.3">
      <c r="A126" s="1">
        <v>125</v>
      </c>
      <c r="B126" s="1">
        <v>14</v>
      </c>
      <c r="C126" s="1">
        <v>5</v>
      </c>
      <c r="D126" s="2">
        <v>44625</v>
      </c>
      <c r="E126" s="1">
        <v>0</v>
      </c>
      <c r="F126" s="1">
        <v>1</v>
      </c>
      <c r="G126" s="1">
        <v>0</v>
      </c>
      <c r="H126" s="4">
        <f t="shared" ca="1" si="4"/>
        <v>0</v>
      </c>
      <c r="I126" s="4">
        <f t="shared" ca="1" si="5"/>
        <v>18816</v>
      </c>
      <c r="J126" s="4">
        <f t="shared" ca="1" si="6"/>
        <v>0</v>
      </c>
      <c r="K126" s="4">
        <f t="shared" ca="1" si="7"/>
        <v>18816</v>
      </c>
    </row>
    <row r="127" spans="1:11" x14ac:dyDescent="0.3">
      <c r="A127" s="1">
        <v>126</v>
      </c>
      <c r="B127" s="1">
        <v>18</v>
      </c>
      <c r="C127" s="1">
        <v>28</v>
      </c>
      <c r="D127" s="2">
        <v>44625</v>
      </c>
      <c r="E127" s="1">
        <v>0</v>
      </c>
      <c r="F127" s="1">
        <v>5</v>
      </c>
      <c r="G127" s="1">
        <v>3</v>
      </c>
      <c r="H127" s="4">
        <f t="shared" ca="1" si="4"/>
        <v>0</v>
      </c>
      <c r="I127" s="4">
        <f t="shared" ca="1" si="5"/>
        <v>46800</v>
      </c>
      <c r="J127" s="4">
        <f t="shared" ca="1" si="6"/>
        <v>21060</v>
      </c>
      <c r="K127" s="4">
        <f t="shared" ca="1" si="7"/>
        <v>67860</v>
      </c>
    </row>
    <row r="128" spans="1:11" x14ac:dyDescent="0.3">
      <c r="A128" s="1">
        <v>127</v>
      </c>
      <c r="B128" s="1">
        <v>6</v>
      </c>
      <c r="C128" s="1">
        <v>54</v>
      </c>
      <c r="D128" s="2">
        <v>44625</v>
      </c>
      <c r="E128" s="1">
        <v>5</v>
      </c>
      <c r="F128" s="1">
        <v>2</v>
      </c>
      <c r="G128" s="1">
        <v>5</v>
      </c>
      <c r="H128" s="4">
        <f t="shared" ca="1" si="4"/>
        <v>110700</v>
      </c>
      <c r="I128" s="4">
        <f t="shared" ca="1" si="5"/>
        <v>35424</v>
      </c>
      <c r="J128" s="4">
        <f t="shared" ca="1" si="6"/>
        <v>66420</v>
      </c>
      <c r="K128" s="4">
        <f t="shared" ca="1" si="7"/>
        <v>212544</v>
      </c>
    </row>
    <row r="129" spans="1:11" x14ac:dyDescent="0.3">
      <c r="A129" s="1">
        <v>128</v>
      </c>
      <c r="B129" s="1">
        <v>12</v>
      </c>
      <c r="C129" s="1">
        <v>12</v>
      </c>
      <c r="D129" s="2">
        <v>44625</v>
      </c>
      <c r="E129" s="1">
        <v>2</v>
      </c>
      <c r="F129" s="1">
        <v>2</v>
      </c>
      <c r="G129" s="1">
        <v>3</v>
      </c>
      <c r="H129" s="4">
        <f t="shared" ca="1" si="4"/>
        <v>27000</v>
      </c>
      <c r="I129" s="4">
        <f t="shared" ca="1" si="5"/>
        <v>21600</v>
      </c>
      <c r="J129" s="4">
        <f t="shared" ca="1" si="6"/>
        <v>24300</v>
      </c>
      <c r="K129" s="4">
        <f t="shared" ca="1" si="7"/>
        <v>72900</v>
      </c>
    </row>
    <row r="130" spans="1:11" x14ac:dyDescent="0.3">
      <c r="A130" s="1">
        <v>129</v>
      </c>
      <c r="B130" s="1">
        <v>14</v>
      </c>
      <c r="C130" s="1">
        <v>8</v>
      </c>
      <c r="D130" s="2">
        <v>44626</v>
      </c>
      <c r="E130" s="1">
        <v>4</v>
      </c>
      <c r="F130" s="1">
        <v>1</v>
      </c>
      <c r="G130" s="1">
        <v>2</v>
      </c>
      <c r="H130" s="4">
        <f t="shared" ref="H130:H193" ca="1" si="8">VLOOKUP(C130,패키지,5,0)*E130</f>
        <v>87680</v>
      </c>
      <c r="I130" s="4">
        <f t="shared" ref="I130:I193" ca="1" si="9">VLOOKUP(C130,패키지,5,0)*0.8*F130</f>
        <v>17536</v>
      </c>
      <c r="J130" s="4">
        <f t="shared" ref="J130:J193" ca="1" si="10">VLOOKUP(C130,패키지,5,0)*0.6*G130</f>
        <v>26304</v>
      </c>
      <c r="K130" s="4">
        <f t="shared" ca="1" si="7"/>
        <v>131520</v>
      </c>
    </row>
    <row r="131" spans="1:11" x14ac:dyDescent="0.3">
      <c r="A131" s="1">
        <v>130</v>
      </c>
      <c r="B131" s="1">
        <v>25</v>
      </c>
      <c r="C131" s="1">
        <v>19</v>
      </c>
      <c r="D131" s="2">
        <v>44626</v>
      </c>
      <c r="E131" s="1">
        <v>0</v>
      </c>
      <c r="F131" s="1">
        <v>0</v>
      </c>
      <c r="G131" s="1">
        <v>3</v>
      </c>
      <c r="H131" s="4">
        <f t="shared" ca="1" si="8"/>
        <v>0</v>
      </c>
      <c r="I131" s="4">
        <f t="shared" ca="1" si="9"/>
        <v>0</v>
      </c>
      <c r="J131" s="4">
        <f t="shared" ca="1" si="10"/>
        <v>34020</v>
      </c>
      <c r="K131" s="4">
        <f t="shared" ref="K131:K194" ca="1" si="11">SUM(J131,I131,H131)</f>
        <v>34020</v>
      </c>
    </row>
    <row r="132" spans="1:11" x14ac:dyDescent="0.3">
      <c r="A132" s="1">
        <v>131</v>
      </c>
      <c r="B132" s="1">
        <v>11</v>
      </c>
      <c r="C132" s="1">
        <v>53</v>
      </c>
      <c r="D132" s="2">
        <v>44627</v>
      </c>
      <c r="E132" s="1">
        <v>0</v>
      </c>
      <c r="F132" s="1">
        <v>5</v>
      </c>
      <c r="G132" s="1">
        <v>4</v>
      </c>
      <c r="H132" s="4">
        <f t="shared" ca="1" si="8"/>
        <v>0</v>
      </c>
      <c r="I132" s="4">
        <f t="shared" ca="1" si="9"/>
        <v>73600</v>
      </c>
      <c r="J132" s="4">
        <f t="shared" ca="1" si="10"/>
        <v>44160</v>
      </c>
      <c r="K132" s="4">
        <f t="shared" ca="1" si="11"/>
        <v>117760</v>
      </c>
    </row>
    <row r="133" spans="1:11" x14ac:dyDescent="0.3">
      <c r="A133" s="1">
        <v>132</v>
      </c>
      <c r="B133" s="1">
        <v>3</v>
      </c>
      <c r="C133" s="1">
        <v>17</v>
      </c>
      <c r="D133" s="2">
        <v>44628</v>
      </c>
      <c r="E133" s="1">
        <v>2</v>
      </c>
      <c r="F133" s="1">
        <v>1</v>
      </c>
      <c r="G133" s="1">
        <v>4</v>
      </c>
      <c r="H133" s="4">
        <f t="shared" ca="1" si="8"/>
        <v>50400</v>
      </c>
      <c r="I133" s="4">
        <f t="shared" ca="1" si="9"/>
        <v>20160</v>
      </c>
      <c r="J133" s="4">
        <f t="shared" ca="1" si="10"/>
        <v>60480</v>
      </c>
      <c r="K133" s="4">
        <f t="shared" ca="1" si="11"/>
        <v>131040</v>
      </c>
    </row>
    <row r="134" spans="1:11" x14ac:dyDescent="0.3">
      <c r="A134" s="1">
        <v>133</v>
      </c>
      <c r="B134" s="1">
        <v>7</v>
      </c>
      <c r="C134" s="1">
        <v>19</v>
      </c>
      <c r="D134" s="2">
        <v>44629</v>
      </c>
      <c r="E134" s="1">
        <v>2</v>
      </c>
      <c r="F134" s="1">
        <v>4</v>
      </c>
      <c r="G134" s="1">
        <v>0</v>
      </c>
      <c r="H134" s="4">
        <f t="shared" ca="1" si="8"/>
        <v>37800</v>
      </c>
      <c r="I134" s="4">
        <f t="shared" ca="1" si="9"/>
        <v>60480</v>
      </c>
      <c r="J134" s="4">
        <f t="shared" ca="1" si="10"/>
        <v>0</v>
      </c>
      <c r="K134" s="4">
        <f t="shared" ca="1" si="11"/>
        <v>98280</v>
      </c>
    </row>
    <row r="135" spans="1:11" x14ac:dyDescent="0.3">
      <c r="A135" s="1">
        <v>134</v>
      </c>
      <c r="B135" s="1">
        <v>7</v>
      </c>
      <c r="C135" s="1">
        <v>48</v>
      </c>
      <c r="D135" s="2">
        <v>44629</v>
      </c>
      <c r="E135" s="1">
        <v>4</v>
      </c>
      <c r="F135" s="1">
        <v>3</v>
      </c>
      <c r="G135" s="1">
        <v>5</v>
      </c>
      <c r="H135" s="4">
        <f t="shared" ca="1" si="8"/>
        <v>73600</v>
      </c>
      <c r="I135" s="4">
        <f t="shared" ca="1" si="9"/>
        <v>44160</v>
      </c>
      <c r="J135" s="4">
        <f t="shared" ca="1" si="10"/>
        <v>55200</v>
      </c>
      <c r="K135" s="4">
        <f t="shared" ca="1" si="11"/>
        <v>172960</v>
      </c>
    </row>
    <row r="136" spans="1:11" x14ac:dyDescent="0.3">
      <c r="A136" s="1">
        <v>135</v>
      </c>
      <c r="B136" s="1">
        <v>26</v>
      </c>
      <c r="C136" s="1">
        <v>51</v>
      </c>
      <c r="D136" s="2">
        <v>44630</v>
      </c>
      <c r="E136" s="1">
        <v>4</v>
      </c>
      <c r="F136" s="1">
        <v>5</v>
      </c>
      <c r="G136" s="1">
        <v>4</v>
      </c>
      <c r="H136" s="4">
        <f t="shared" ca="1" si="8"/>
        <v>39600</v>
      </c>
      <c r="I136" s="4">
        <f t="shared" ca="1" si="9"/>
        <v>39600</v>
      </c>
      <c r="J136" s="4">
        <f t="shared" ca="1" si="10"/>
        <v>23760</v>
      </c>
      <c r="K136" s="4">
        <f t="shared" ca="1" si="11"/>
        <v>102960</v>
      </c>
    </row>
    <row r="137" spans="1:11" x14ac:dyDescent="0.3">
      <c r="A137" s="1">
        <v>136</v>
      </c>
      <c r="B137" s="1">
        <v>5</v>
      </c>
      <c r="C137" s="1">
        <v>31</v>
      </c>
      <c r="D137" s="2">
        <v>44631</v>
      </c>
      <c r="E137" s="1">
        <v>1</v>
      </c>
      <c r="F137" s="1">
        <v>4</v>
      </c>
      <c r="G137" s="1">
        <v>0</v>
      </c>
      <c r="H137" s="4">
        <f t="shared" ca="1" si="8"/>
        <v>12600</v>
      </c>
      <c r="I137" s="4">
        <f t="shared" ca="1" si="9"/>
        <v>40320</v>
      </c>
      <c r="J137" s="4">
        <f t="shared" ca="1" si="10"/>
        <v>0</v>
      </c>
      <c r="K137" s="4">
        <f t="shared" ca="1" si="11"/>
        <v>52920</v>
      </c>
    </row>
    <row r="138" spans="1:11" x14ac:dyDescent="0.3">
      <c r="A138" s="1">
        <v>137</v>
      </c>
      <c r="B138" s="1">
        <v>14</v>
      </c>
      <c r="C138" s="1">
        <v>7</v>
      </c>
      <c r="D138" s="2">
        <v>44631</v>
      </c>
      <c r="E138" s="1">
        <v>4</v>
      </c>
      <c r="F138" s="1">
        <v>4</v>
      </c>
      <c r="G138" s="1">
        <v>0</v>
      </c>
      <c r="H138" s="4">
        <f t="shared" ca="1" si="8"/>
        <v>104320</v>
      </c>
      <c r="I138" s="4">
        <f t="shared" ca="1" si="9"/>
        <v>83456</v>
      </c>
      <c r="J138" s="4">
        <f t="shared" ca="1" si="10"/>
        <v>0</v>
      </c>
      <c r="K138" s="4">
        <f t="shared" ca="1" si="11"/>
        <v>187776</v>
      </c>
    </row>
    <row r="139" spans="1:11" x14ac:dyDescent="0.3">
      <c r="A139" s="1">
        <v>138</v>
      </c>
      <c r="B139" s="1">
        <v>2</v>
      </c>
      <c r="C139" s="1">
        <v>6</v>
      </c>
      <c r="D139" s="2">
        <v>44631</v>
      </c>
      <c r="E139" s="1">
        <v>5</v>
      </c>
      <c r="F139" s="1">
        <v>0</v>
      </c>
      <c r="G139" s="1">
        <v>5</v>
      </c>
      <c r="H139" s="4">
        <f t="shared" ca="1" si="8"/>
        <v>134000</v>
      </c>
      <c r="I139" s="4">
        <f t="shared" ca="1" si="9"/>
        <v>0</v>
      </c>
      <c r="J139" s="4">
        <f t="shared" ca="1" si="10"/>
        <v>80400</v>
      </c>
      <c r="K139" s="4">
        <f t="shared" ca="1" si="11"/>
        <v>214400</v>
      </c>
    </row>
    <row r="140" spans="1:11" x14ac:dyDescent="0.3">
      <c r="A140" s="1">
        <v>139</v>
      </c>
      <c r="B140" s="1">
        <v>19</v>
      </c>
      <c r="C140" s="1">
        <v>50</v>
      </c>
      <c r="D140" s="2">
        <v>44631</v>
      </c>
      <c r="E140" s="1">
        <v>5</v>
      </c>
      <c r="F140" s="1">
        <v>2</v>
      </c>
      <c r="G140" s="1">
        <v>1</v>
      </c>
      <c r="H140" s="4">
        <f t="shared" ca="1" si="8"/>
        <v>171000</v>
      </c>
      <c r="I140" s="4">
        <f t="shared" ca="1" si="9"/>
        <v>54720</v>
      </c>
      <c r="J140" s="4">
        <f t="shared" ca="1" si="10"/>
        <v>20520</v>
      </c>
      <c r="K140" s="4">
        <f t="shared" ca="1" si="11"/>
        <v>246240</v>
      </c>
    </row>
    <row r="141" spans="1:11" x14ac:dyDescent="0.3">
      <c r="A141" s="1">
        <v>140</v>
      </c>
      <c r="B141" s="1">
        <v>22</v>
      </c>
      <c r="C141" s="1">
        <v>34</v>
      </c>
      <c r="D141" s="2">
        <v>44633</v>
      </c>
      <c r="E141" s="1">
        <v>5</v>
      </c>
      <c r="F141" s="1">
        <v>3</v>
      </c>
      <c r="G141" s="1">
        <v>4</v>
      </c>
      <c r="H141" s="4">
        <f t="shared" ca="1" si="8"/>
        <v>134000</v>
      </c>
      <c r="I141" s="4">
        <f t="shared" ca="1" si="9"/>
        <v>64320</v>
      </c>
      <c r="J141" s="4">
        <f t="shared" ca="1" si="10"/>
        <v>64320</v>
      </c>
      <c r="K141" s="4">
        <f t="shared" ca="1" si="11"/>
        <v>262640</v>
      </c>
    </row>
    <row r="142" spans="1:11" x14ac:dyDescent="0.3">
      <c r="A142" s="1">
        <v>141</v>
      </c>
      <c r="B142" s="1">
        <v>6</v>
      </c>
      <c r="C142" s="1">
        <v>40</v>
      </c>
      <c r="D142" s="2">
        <v>44634</v>
      </c>
      <c r="E142" s="1">
        <v>0</v>
      </c>
      <c r="F142" s="1">
        <v>3</v>
      </c>
      <c r="G142" s="1">
        <v>0</v>
      </c>
      <c r="H142" s="4">
        <f t="shared" ca="1" si="8"/>
        <v>0</v>
      </c>
      <c r="I142" s="4">
        <f t="shared" ca="1" si="9"/>
        <v>61440</v>
      </c>
      <c r="J142" s="4">
        <f t="shared" ca="1" si="10"/>
        <v>0</v>
      </c>
      <c r="K142" s="4">
        <f t="shared" ca="1" si="11"/>
        <v>61440</v>
      </c>
    </row>
    <row r="143" spans="1:11" x14ac:dyDescent="0.3">
      <c r="A143" s="1">
        <v>142</v>
      </c>
      <c r="B143" s="1">
        <v>2</v>
      </c>
      <c r="C143" s="1">
        <v>57</v>
      </c>
      <c r="D143" s="2">
        <v>44635</v>
      </c>
      <c r="E143" s="1">
        <v>2</v>
      </c>
      <c r="F143" s="1">
        <v>1</v>
      </c>
      <c r="G143" s="1">
        <v>4</v>
      </c>
      <c r="H143" s="4">
        <f t="shared" ca="1" si="8"/>
        <v>40160</v>
      </c>
      <c r="I143" s="4">
        <f t="shared" ca="1" si="9"/>
        <v>16064</v>
      </c>
      <c r="J143" s="4">
        <f t="shared" ca="1" si="10"/>
        <v>48192</v>
      </c>
      <c r="K143" s="4">
        <f t="shared" ca="1" si="11"/>
        <v>104416</v>
      </c>
    </row>
    <row r="144" spans="1:11" x14ac:dyDescent="0.3">
      <c r="A144" s="1">
        <v>143</v>
      </c>
      <c r="B144" s="1">
        <v>24</v>
      </c>
      <c r="C144" s="1">
        <v>33</v>
      </c>
      <c r="D144" s="2">
        <v>44635</v>
      </c>
      <c r="E144" s="1">
        <v>4</v>
      </c>
      <c r="F144" s="1">
        <v>4</v>
      </c>
      <c r="G144" s="1">
        <v>2</v>
      </c>
      <c r="H144" s="4">
        <f t="shared" ca="1" si="8"/>
        <v>54400</v>
      </c>
      <c r="I144" s="4">
        <f t="shared" ca="1" si="9"/>
        <v>43520</v>
      </c>
      <c r="J144" s="4">
        <f t="shared" ca="1" si="10"/>
        <v>16320</v>
      </c>
      <c r="K144" s="4">
        <f t="shared" ca="1" si="11"/>
        <v>114240</v>
      </c>
    </row>
    <row r="145" spans="1:11" x14ac:dyDescent="0.3">
      <c r="A145" s="1">
        <v>144</v>
      </c>
      <c r="B145" s="1">
        <v>5</v>
      </c>
      <c r="C145" s="1">
        <v>50</v>
      </c>
      <c r="D145" s="2">
        <v>44635</v>
      </c>
      <c r="E145" s="1">
        <v>5</v>
      </c>
      <c r="F145" s="1">
        <v>2</v>
      </c>
      <c r="G145" s="1">
        <v>4</v>
      </c>
      <c r="H145" s="4">
        <f t="shared" ca="1" si="8"/>
        <v>171000</v>
      </c>
      <c r="I145" s="4">
        <f t="shared" ca="1" si="9"/>
        <v>54720</v>
      </c>
      <c r="J145" s="4">
        <f t="shared" ca="1" si="10"/>
        <v>82080</v>
      </c>
      <c r="K145" s="4">
        <f t="shared" ca="1" si="11"/>
        <v>307800</v>
      </c>
    </row>
    <row r="146" spans="1:11" x14ac:dyDescent="0.3">
      <c r="A146" s="1">
        <v>145</v>
      </c>
      <c r="B146" s="1">
        <v>24</v>
      </c>
      <c r="C146" s="1">
        <v>38</v>
      </c>
      <c r="D146" s="2">
        <v>44636</v>
      </c>
      <c r="E146" s="1">
        <v>0</v>
      </c>
      <c r="F146" s="1">
        <v>3</v>
      </c>
      <c r="G146" s="1">
        <v>4</v>
      </c>
      <c r="H146" s="4">
        <f t="shared" ca="1" si="8"/>
        <v>0</v>
      </c>
      <c r="I146" s="4">
        <f t="shared" ca="1" si="9"/>
        <v>17280</v>
      </c>
      <c r="J146" s="4">
        <f t="shared" ca="1" si="10"/>
        <v>17280</v>
      </c>
      <c r="K146" s="4">
        <f t="shared" ca="1" si="11"/>
        <v>34560</v>
      </c>
    </row>
    <row r="147" spans="1:11" x14ac:dyDescent="0.3">
      <c r="A147" s="1">
        <v>146</v>
      </c>
      <c r="B147" s="1">
        <v>21</v>
      </c>
      <c r="C147" s="1">
        <v>13</v>
      </c>
      <c r="D147" s="2">
        <v>44637</v>
      </c>
      <c r="E147" s="1">
        <v>0</v>
      </c>
      <c r="F147" s="1">
        <v>4</v>
      </c>
      <c r="G147" s="1">
        <v>4</v>
      </c>
      <c r="H147" s="4">
        <f t="shared" ca="1" si="8"/>
        <v>0</v>
      </c>
      <c r="I147" s="4">
        <f t="shared" ca="1" si="9"/>
        <v>120320</v>
      </c>
      <c r="J147" s="4">
        <f t="shared" ca="1" si="10"/>
        <v>90240</v>
      </c>
      <c r="K147" s="4">
        <f t="shared" ca="1" si="11"/>
        <v>210560</v>
      </c>
    </row>
    <row r="148" spans="1:11" x14ac:dyDescent="0.3">
      <c r="A148" s="1">
        <v>147</v>
      </c>
      <c r="B148" s="1">
        <v>27</v>
      </c>
      <c r="C148" s="1">
        <v>21</v>
      </c>
      <c r="D148" s="2">
        <v>44638</v>
      </c>
      <c r="E148" s="1">
        <v>1</v>
      </c>
      <c r="F148" s="1">
        <v>4</v>
      </c>
      <c r="G148" s="1">
        <v>0</v>
      </c>
      <c r="H148" s="4">
        <f t="shared" ca="1" si="8"/>
        <v>20000</v>
      </c>
      <c r="I148" s="4">
        <f t="shared" ca="1" si="9"/>
        <v>64000</v>
      </c>
      <c r="J148" s="4">
        <f t="shared" ca="1" si="10"/>
        <v>0</v>
      </c>
      <c r="K148" s="4">
        <f t="shared" ca="1" si="11"/>
        <v>84000</v>
      </c>
    </row>
    <row r="149" spans="1:11" x14ac:dyDescent="0.3">
      <c r="A149" s="1">
        <v>148</v>
      </c>
      <c r="B149" s="1">
        <v>16</v>
      </c>
      <c r="C149" s="1">
        <v>41</v>
      </c>
      <c r="D149" s="2">
        <v>44639</v>
      </c>
      <c r="E149" s="1">
        <v>0</v>
      </c>
      <c r="F149" s="1">
        <v>2</v>
      </c>
      <c r="G149" s="1">
        <v>3</v>
      </c>
      <c r="H149" s="4">
        <f t="shared" ca="1" si="8"/>
        <v>0</v>
      </c>
      <c r="I149" s="4">
        <f t="shared" ca="1" si="9"/>
        <v>53760</v>
      </c>
      <c r="J149" s="4">
        <f t="shared" ca="1" si="10"/>
        <v>60480</v>
      </c>
      <c r="K149" s="4">
        <f t="shared" ca="1" si="11"/>
        <v>114240</v>
      </c>
    </row>
    <row r="150" spans="1:11" x14ac:dyDescent="0.3">
      <c r="A150" s="1">
        <v>149</v>
      </c>
      <c r="B150" s="1">
        <v>1</v>
      </c>
      <c r="C150" s="1">
        <v>36</v>
      </c>
      <c r="D150" s="2">
        <v>44639</v>
      </c>
      <c r="E150" s="1">
        <v>2</v>
      </c>
      <c r="F150" s="1">
        <v>5</v>
      </c>
      <c r="G150" s="1">
        <v>1</v>
      </c>
      <c r="H150" s="4">
        <f t="shared" ca="1" si="8"/>
        <v>40500</v>
      </c>
      <c r="I150" s="4">
        <f t="shared" ca="1" si="9"/>
        <v>81000</v>
      </c>
      <c r="J150" s="4">
        <f t="shared" ca="1" si="10"/>
        <v>12150</v>
      </c>
      <c r="K150" s="4">
        <f t="shared" ca="1" si="11"/>
        <v>133650</v>
      </c>
    </row>
    <row r="151" spans="1:11" x14ac:dyDescent="0.3">
      <c r="A151" s="1">
        <v>150</v>
      </c>
      <c r="B151" s="1">
        <v>14</v>
      </c>
      <c r="C151" s="1">
        <v>25</v>
      </c>
      <c r="D151" s="2">
        <v>44639</v>
      </c>
      <c r="E151" s="1">
        <v>4</v>
      </c>
      <c r="F151" s="1">
        <v>0</v>
      </c>
      <c r="G151" s="1">
        <v>5</v>
      </c>
      <c r="H151" s="4">
        <f t="shared" ca="1" si="8"/>
        <v>108000</v>
      </c>
      <c r="I151" s="4">
        <f t="shared" ca="1" si="9"/>
        <v>0</v>
      </c>
      <c r="J151" s="4">
        <f t="shared" ca="1" si="10"/>
        <v>81000</v>
      </c>
      <c r="K151" s="4">
        <f t="shared" ca="1" si="11"/>
        <v>189000</v>
      </c>
    </row>
    <row r="152" spans="1:11" x14ac:dyDescent="0.3">
      <c r="A152" s="1">
        <v>151</v>
      </c>
      <c r="B152" s="1">
        <v>18</v>
      </c>
      <c r="C152" s="1">
        <v>40</v>
      </c>
      <c r="D152" s="2">
        <v>44639</v>
      </c>
      <c r="E152" s="1">
        <v>0</v>
      </c>
      <c r="F152" s="1">
        <v>0</v>
      </c>
      <c r="G152" s="1">
        <v>3</v>
      </c>
      <c r="H152" s="4">
        <f t="shared" ca="1" si="8"/>
        <v>0</v>
      </c>
      <c r="I152" s="4">
        <f t="shared" ca="1" si="9"/>
        <v>0</v>
      </c>
      <c r="J152" s="4">
        <f t="shared" ca="1" si="10"/>
        <v>46080</v>
      </c>
      <c r="K152" s="4">
        <f t="shared" ca="1" si="11"/>
        <v>46080</v>
      </c>
    </row>
    <row r="153" spans="1:11" x14ac:dyDescent="0.3">
      <c r="A153" s="1">
        <v>152</v>
      </c>
      <c r="B153" s="1">
        <v>18</v>
      </c>
      <c r="C153" s="1">
        <v>18</v>
      </c>
      <c r="D153" s="2">
        <v>44640</v>
      </c>
      <c r="E153" s="1">
        <v>1</v>
      </c>
      <c r="F153" s="1">
        <v>0</v>
      </c>
      <c r="G153" s="1">
        <v>2</v>
      </c>
      <c r="H153" s="4">
        <f t="shared" ca="1" si="8"/>
        <v>26100</v>
      </c>
      <c r="I153" s="4">
        <f t="shared" ca="1" si="9"/>
        <v>0</v>
      </c>
      <c r="J153" s="4">
        <f t="shared" ca="1" si="10"/>
        <v>31320</v>
      </c>
      <c r="K153" s="4">
        <f t="shared" ca="1" si="11"/>
        <v>57420</v>
      </c>
    </row>
    <row r="154" spans="1:11" x14ac:dyDescent="0.3">
      <c r="A154" s="1">
        <v>153</v>
      </c>
      <c r="B154" s="1">
        <v>22</v>
      </c>
      <c r="C154" s="1">
        <v>15</v>
      </c>
      <c r="D154" s="2">
        <v>44640</v>
      </c>
      <c r="E154" s="1">
        <v>0</v>
      </c>
      <c r="F154" s="1">
        <v>2</v>
      </c>
      <c r="G154" s="1">
        <v>4</v>
      </c>
      <c r="H154" s="4">
        <f t="shared" ca="1" si="8"/>
        <v>0</v>
      </c>
      <c r="I154" s="4">
        <f t="shared" ca="1" si="9"/>
        <v>30240</v>
      </c>
      <c r="J154" s="4">
        <f t="shared" ca="1" si="10"/>
        <v>45360</v>
      </c>
      <c r="K154" s="4">
        <f t="shared" ca="1" si="11"/>
        <v>75600</v>
      </c>
    </row>
    <row r="155" spans="1:11" x14ac:dyDescent="0.3">
      <c r="A155" s="1">
        <v>154</v>
      </c>
      <c r="B155" s="1">
        <v>18</v>
      </c>
      <c r="C155" s="1">
        <v>46</v>
      </c>
      <c r="D155" s="2">
        <v>44640</v>
      </c>
      <c r="E155" s="1">
        <v>0</v>
      </c>
      <c r="F155" s="1">
        <v>2</v>
      </c>
      <c r="G155" s="1">
        <v>5</v>
      </c>
      <c r="H155" s="4">
        <f t="shared" ca="1" si="8"/>
        <v>0</v>
      </c>
      <c r="I155" s="4">
        <f t="shared" ca="1" si="9"/>
        <v>36480</v>
      </c>
      <c r="J155" s="4">
        <f t="shared" ca="1" si="10"/>
        <v>68400</v>
      </c>
      <c r="K155" s="4">
        <f t="shared" ca="1" si="11"/>
        <v>104880</v>
      </c>
    </row>
    <row r="156" spans="1:11" x14ac:dyDescent="0.3">
      <c r="A156" s="1">
        <v>155</v>
      </c>
      <c r="B156" s="1">
        <v>15</v>
      </c>
      <c r="C156" s="1">
        <v>45</v>
      </c>
      <c r="D156" s="2">
        <v>44643</v>
      </c>
      <c r="E156" s="1">
        <v>0</v>
      </c>
      <c r="F156" s="1">
        <v>0</v>
      </c>
      <c r="G156" s="1">
        <v>1</v>
      </c>
      <c r="H156" s="4">
        <f t="shared" ca="1" si="8"/>
        <v>0</v>
      </c>
      <c r="I156" s="4">
        <f t="shared" ca="1" si="9"/>
        <v>0</v>
      </c>
      <c r="J156" s="4">
        <f t="shared" ca="1" si="10"/>
        <v>11880</v>
      </c>
      <c r="K156" s="4">
        <f t="shared" ca="1" si="11"/>
        <v>11880</v>
      </c>
    </row>
    <row r="157" spans="1:11" x14ac:dyDescent="0.3">
      <c r="A157" s="1">
        <v>156</v>
      </c>
      <c r="B157" s="1">
        <v>20</v>
      </c>
      <c r="C157" s="1">
        <v>55</v>
      </c>
      <c r="D157" s="2">
        <v>44643</v>
      </c>
      <c r="E157" s="1">
        <v>0</v>
      </c>
      <c r="F157" s="1">
        <v>2</v>
      </c>
      <c r="G157" s="1">
        <v>4</v>
      </c>
      <c r="H157" s="4">
        <f t="shared" ca="1" si="8"/>
        <v>0</v>
      </c>
      <c r="I157" s="4">
        <f t="shared" ca="1" si="9"/>
        <v>23616</v>
      </c>
      <c r="J157" s="4">
        <f t="shared" ca="1" si="10"/>
        <v>35424</v>
      </c>
      <c r="K157" s="4">
        <f t="shared" ca="1" si="11"/>
        <v>59040</v>
      </c>
    </row>
    <row r="158" spans="1:11" x14ac:dyDescent="0.3">
      <c r="A158" s="1">
        <v>157</v>
      </c>
      <c r="B158" s="1">
        <v>4</v>
      </c>
      <c r="C158" s="1">
        <v>48</v>
      </c>
      <c r="D158" s="2">
        <v>44643</v>
      </c>
      <c r="E158" s="1">
        <v>3</v>
      </c>
      <c r="F158" s="1">
        <v>2</v>
      </c>
      <c r="G158" s="1">
        <v>1</v>
      </c>
      <c r="H158" s="4">
        <f t="shared" ca="1" si="8"/>
        <v>55200</v>
      </c>
      <c r="I158" s="4">
        <f t="shared" ca="1" si="9"/>
        <v>29440</v>
      </c>
      <c r="J158" s="4">
        <f t="shared" ca="1" si="10"/>
        <v>11040</v>
      </c>
      <c r="K158" s="4">
        <f t="shared" ca="1" si="11"/>
        <v>95680</v>
      </c>
    </row>
    <row r="159" spans="1:11" x14ac:dyDescent="0.3">
      <c r="A159" s="1">
        <v>158</v>
      </c>
      <c r="B159" s="1">
        <v>21</v>
      </c>
      <c r="C159" s="1">
        <v>3</v>
      </c>
      <c r="D159" s="2">
        <v>44643</v>
      </c>
      <c r="E159" s="1">
        <v>2</v>
      </c>
      <c r="F159" s="1">
        <v>0</v>
      </c>
      <c r="G159" s="1">
        <v>4</v>
      </c>
      <c r="H159" s="4">
        <f t="shared" ca="1" si="8"/>
        <v>53440</v>
      </c>
      <c r="I159" s="4">
        <f t="shared" ca="1" si="9"/>
        <v>0</v>
      </c>
      <c r="J159" s="4">
        <f t="shared" ca="1" si="10"/>
        <v>64128</v>
      </c>
      <c r="K159" s="4">
        <f t="shared" ca="1" si="11"/>
        <v>117568</v>
      </c>
    </row>
    <row r="160" spans="1:11" x14ac:dyDescent="0.3">
      <c r="A160" s="1">
        <v>159</v>
      </c>
      <c r="B160" s="1">
        <v>3</v>
      </c>
      <c r="C160" s="1">
        <v>34</v>
      </c>
      <c r="D160" s="2">
        <v>44644</v>
      </c>
      <c r="E160" s="1">
        <v>4</v>
      </c>
      <c r="F160" s="1">
        <v>2</v>
      </c>
      <c r="G160" s="1">
        <v>2</v>
      </c>
      <c r="H160" s="4">
        <f t="shared" ca="1" si="8"/>
        <v>107200</v>
      </c>
      <c r="I160" s="4">
        <f t="shared" ca="1" si="9"/>
        <v>42880</v>
      </c>
      <c r="J160" s="4">
        <f t="shared" ca="1" si="10"/>
        <v>32160</v>
      </c>
      <c r="K160" s="4">
        <f t="shared" ca="1" si="11"/>
        <v>182240</v>
      </c>
    </row>
    <row r="161" spans="1:11" x14ac:dyDescent="0.3">
      <c r="A161" s="1">
        <v>160</v>
      </c>
      <c r="B161" s="1">
        <v>23</v>
      </c>
      <c r="C161" s="1">
        <v>57</v>
      </c>
      <c r="D161" s="2">
        <v>44644</v>
      </c>
      <c r="E161" s="1">
        <v>3</v>
      </c>
      <c r="F161" s="1">
        <v>0</v>
      </c>
      <c r="G161" s="1">
        <v>0</v>
      </c>
      <c r="H161" s="4">
        <f t="shared" ca="1" si="8"/>
        <v>60240</v>
      </c>
      <c r="I161" s="4">
        <f t="shared" ca="1" si="9"/>
        <v>0</v>
      </c>
      <c r="J161" s="4">
        <f t="shared" ca="1" si="10"/>
        <v>0</v>
      </c>
      <c r="K161" s="4">
        <f t="shared" ca="1" si="11"/>
        <v>60240</v>
      </c>
    </row>
    <row r="162" spans="1:11" x14ac:dyDescent="0.3">
      <c r="A162" s="1">
        <v>161</v>
      </c>
      <c r="B162" s="1">
        <v>10</v>
      </c>
      <c r="C162" s="1">
        <v>3</v>
      </c>
      <c r="D162" s="2">
        <v>44644</v>
      </c>
      <c r="E162" s="1">
        <v>4</v>
      </c>
      <c r="F162" s="1">
        <v>0</v>
      </c>
      <c r="G162" s="1">
        <v>2</v>
      </c>
      <c r="H162" s="4">
        <f t="shared" ca="1" si="8"/>
        <v>106880</v>
      </c>
      <c r="I162" s="4">
        <f t="shared" ca="1" si="9"/>
        <v>0</v>
      </c>
      <c r="J162" s="4">
        <f t="shared" ca="1" si="10"/>
        <v>32064</v>
      </c>
      <c r="K162" s="4">
        <f t="shared" ca="1" si="11"/>
        <v>138944</v>
      </c>
    </row>
    <row r="163" spans="1:11" x14ac:dyDescent="0.3">
      <c r="A163" s="1">
        <v>162</v>
      </c>
      <c r="B163" s="1">
        <v>24</v>
      </c>
      <c r="C163" s="1">
        <v>57</v>
      </c>
      <c r="D163" s="2">
        <v>44644</v>
      </c>
      <c r="E163" s="1">
        <v>1</v>
      </c>
      <c r="F163" s="1">
        <v>1</v>
      </c>
      <c r="G163" s="1">
        <v>5</v>
      </c>
      <c r="H163" s="4">
        <f t="shared" ca="1" si="8"/>
        <v>20080</v>
      </c>
      <c r="I163" s="4">
        <f t="shared" ca="1" si="9"/>
        <v>16064</v>
      </c>
      <c r="J163" s="4">
        <f t="shared" ca="1" si="10"/>
        <v>60240</v>
      </c>
      <c r="K163" s="4">
        <f t="shared" ca="1" si="11"/>
        <v>96384</v>
      </c>
    </row>
    <row r="164" spans="1:11" x14ac:dyDescent="0.3">
      <c r="A164" s="1">
        <v>163</v>
      </c>
      <c r="B164" s="1">
        <v>14</v>
      </c>
      <c r="C164" s="1">
        <v>51</v>
      </c>
      <c r="D164" s="2">
        <v>44644</v>
      </c>
      <c r="E164" s="1">
        <v>0</v>
      </c>
      <c r="F164" s="1">
        <v>2</v>
      </c>
      <c r="G164" s="1">
        <v>3</v>
      </c>
      <c r="H164" s="4">
        <f t="shared" ca="1" si="8"/>
        <v>0</v>
      </c>
      <c r="I164" s="4">
        <f t="shared" ca="1" si="9"/>
        <v>15840</v>
      </c>
      <c r="J164" s="4">
        <f t="shared" ca="1" si="10"/>
        <v>17820</v>
      </c>
      <c r="K164" s="4">
        <f t="shared" ca="1" si="11"/>
        <v>33660</v>
      </c>
    </row>
    <row r="165" spans="1:11" x14ac:dyDescent="0.3">
      <c r="A165" s="1">
        <v>164</v>
      </c>
      <c r="B165" s="1">
        <v>11</v>
      </c>
      <c r="C165" s="1">
        <v>22</v>
      </c>
      <c r="D165" s="2">
        <v>44645</v>
      </c>
      <c r="E165" s="1">
        <v>0</v>
      </c>
      <c r="F165" s="1">
        <v>3</v>
      </c>
      <c r="G165" s="1">
        <v>1</v>
      </c>
      <c r="H165" s="4">
        <f t="shared" ca="1" si="8"/>
        <v>0</v>
      </c>
      <c r="I165" s="4">
        <f t="shared" ca="1" si="9"/>
        <v>30240</v>
      </c>
      <c r="J165" s="4">
        <f t="shared" ca="1" si="10"/>
        <v>7560</v>
      </c>
      <c r="K165" s="4">
        <f t="shared" ca="1" si="11"/>
        <v>37800</v>
      </c>
    </row>
    <row r="166" spans="1:11" x14ac:dyDescent="0.3">
      <c r="A166" s="1">
        <v>165</v>
      </c>
      <c r="B166" s="1">
        <v>19</v>
      </c>
      <c r="C166" s="1">
        <v>9</v>
      </c>
      <c r="D166" s="2">
        <v>44646</v>
      </c>
      <c r="E166" s="1">
        <v>1</v>
      </c>
      <c r="F166" s="1">
        <v>4</v>
      </c>
      <c r="G166" s="1">
        <v>5</v>
      </c>
      <c r="H166" s="4">
        <f t="shared" ca="1" si="8"/>
        <v>31200</v>
      </c>
      <c r="I166" s="4">
        <f t="shared" ca="1" si="9"/>
        <v>99840</v>
      </c>
      <c r="J166" s="4">
        <f t="shared" ca="1" si="10"/>
        <v>93600</v>
      </c>
      <c r="K166" s="4">
        <f t="shared" ca="1" si="11"/>
        <v>224640</v>
      </c>
    </row>
    <row r="167" spans="1:11" x14ac:dyDescent="0.3">
      <c r="A167" s="1">
        <v>166</v>
      </c>
      <c r="B167" s="1">
        <v>11</v>
      </c>
      <c r="C167" s="1">
        <v>47</v>
      </c>
      <c r="D167" s="2">
        <v>44646</v>
      </c>
      <c r="E167" s="1">
        <v>2</v>
      </c>
      <c r="F167" s="1">
        <v>5</v>
      </c>
      <c r="G167" s="1">
        <v>2</v>
      </c>
      <c r="H167" s="4">
        <f t="shared" ca="1" si="8"/>
        <v>23400</v>
      </c>
      <c r="I167" s="4">
        <f t="shared" ca="1" si="9"/>
        <v>46800</v>
      </c>
      <c r="J167" s="4">
        <f t="shared" ca="1" si="10"/>
        <v>14040</v>
      </c>
      <c r="K167" s="4">
        <f t="shared" ca="1" si="11"/>
        <v>84240</v>
      </c>
    </row>
    <row r="168" spans="1:11" x14ac:dyDescent="0.3">
      <c r="A168" s="1">
        <v>167</v>
      </c>
      <c r="B168" s="1">
        <v>19</v>
      </c>
      <c r="C168" s="1">
        <v>20</v>
      </c>
      <c r="D168" s="2">
        <v>44647</v>
      </c>
      <c r="E168" s="1">
        <v>1</v>
      </c>
      <c r="F168" s="1">
        <v>1</v>
      </c>
      <c r="G168" s="1">
        <v>2</v>
      </c>
      <c r="H168" s="4">
        <f t="shared" ca="1" si="8"/>
        <v>23800</v>
      </c>
      <c r="I168" s="4">
        <f t="shared" ca="1" si="9"/>
        <v>19040</v>
      </c>
      <c r="J168" s="4">
        <f t="shared" ca="1" si="10"/>
        <v>28560</v>
      </c>
      <c r="K168" s="4">
        <f t="shared" ca="1" si="11"/>
        <v>71400</v>
      </c>
    </row>
    <row r="169" spans="1:11" x14ac:dyDescent="0.3">
      <c r="A169" s="1">
        <v>168</v>
      </c>
      <c r="B169" s="1">
        <v>19</v>
      </c>
      <c r="C169" s="1">
        <v>38</v>
      </c>
      <c r="D169" s="2">
        <v>44648</v>
      </c>
      <c r="E169" s="1">
        <v>4</v>
      </c>
      <c r="F169" s="1">
        <v>5</v>
      </c>
      <c r="G169" s="1">
        <v>1</v>
      </c>
      <c r="H169" s="4">
        <f t="shared" ca="1" si="8"/>
        <v>28800</v>
      </c>
      <c r="I169" s="4">
        <f t="shared" ca="1" si="9"/>
        <v>28800</v>
      </c>
      <c r="J169" s="4">
        <f t="shared" ca="1" si="10"/>
        <v>4320</v>
      </c>
      <c r="K169" s="4">
        <f t="shared" ca="1" si="11"/>
        <v>61920</v>
      </c>
    </row>
    <row r="170" spans="1:11" x14ac:dyDescent="0.3">
      <c r="A170" s="1">
        <v>169</v>
      </c>
      <c r="B170" s="1">
        <v>7</v>
      </c>
      <c r="C170" s="1">
        <v>52</v>
      </c>
      <c r="D170" s="2">
        <v>44649</v>
      </c>
      <c r="E170" s="1">
        <v>4</v>
      </c>
      <c r="F170" s="1">
        <v>4</v>
      </c>
      <c r="G170" s="1">
        <v>3</v>
      </c>
      <c r="H170" s="4">
        <f t="shared" ca="1" si="8"/>
        <v>64800</v>
      </c>
      <c r="I170" s="4">
        <f t="shared" ca="1" si="9"/>
        <v>51840</v>
      </c>
      <c r="J170" s="4">
        <f t="shared" ca="1" si="10"/>
        <v>29160</v>
      </c>
      <c r="K170" s="4">
        <f t="shared" ca="1" si="11"/>
        <v>145800</v>
      </c>
    </row>
    <row r="171" spans="1:11" x14ac:dyDescent="0.3">
      <c r="A171" s="1">
        <v>170</v>
      </c>
      <c r="B171" s="1">
        <v>1</v>
      </c>
      <c r="C171" s="1">
        <v>50</v>
      </c>
      <c r="D171" s="2">
        <v>44650</v>
      </c>
      <c r="E171" s="1">
        <v>2</v>
      </c>
      <c r="F171" s="1">
        <v>4</v>
      </c>
      <c r="G171" s="1">
        <v>1</v>
      </c>
      <c r="H171" s="4">
        <f t="shared" ca="1" si="8"/>
        <v>68400</v>
      </c>
      <c r="I171" s="4">
        <f t="shared" ca="1" si="9"/>
        <v>109440</v>
      </c>
      <c r="J171" s="4">
        <f t="shared" ca="1" si="10"/>
        <v>20520</v>
      </c>
      <c r="K171" s="4">
        <f t="shared" ca="1" si="11"/>
        <v>198360</v>
      </c>
    </row>
    <row r="172" spans="1:11" x14ac:dyDescent="0.3">
      <c r="A172" s="1">
        <v>171</v>
      </c>
      <c r="B172" s="1">
        <v>15</v>
      </c>
      <c r="C172" s="1">
        <v>51</v>
      </c>
      <c r="D172" s="2">
        <v>44651</v>
      </c>
      <c r="E172" s="1">
        <v>5</v>
      </c>
      <c r="F172" s="1">
        <v>3</v>
      </c>
      <c r="G172" s="1">
        <v>4</v>
      </c>
      <c r="H172" s="4">
        <f t="shared" ca="1" si="8"/>
        <v>49500</v>
      </c>
      <c r="I172" s="4">
        <f t="shared" ca="1" si="9"/>
        <v>23760</v>
      </c>
      <c r="J172" s="4">
        <f t="shared" ca="1" si="10"/>
        <v>23760</v>
      </c>
      <c r="K172" s="4">
        <f t="shared" ca="1" si="11"/>
        <v>97020</v>
      </c>
    </row>
    <row r="173" spans="1:11" x14ac:dyDescent="0.3">
      <c r="A173" s="1">
        <v>172</v>
      </c>
      <c r="B173" s="1">
        <v>25</v>
      </c>
      <c r="C173" s="1">
        <v>35</v>
      </c>
      <c r="D173" s="2">
        <v>44651</v>
      </c>
      <c r="E173" s="1">
        <v>5</v>
      </c>
      <c r="F173" s="1">
        <v>1</v>
      </c>
      <c r="G173" s="1">
        <v>4</v>
      </c>
      <c r="H173" s="4">
        <f t="shared" ca="1" si="8"/>
        <v>139500</v>
      </c>
      <c r="I173" s="4">
        <f t="shared" ca="1" si="9"/>
        <v>22320</v>
      </c>
      <c r="J173" s="4">
        <f t="shared" ca="1" si="10"/>
        <v>66960</v>
      </c>
      <c r="K173" s="4">
        <f t="shared" ca="1" si="11"/>
        <v>228780</v>
      </c>
    </row>
    <row r="174" spans="1:11" x14ac:dyDescent="0.3">
      <c r="A174" s="1">
        <v>173</v>
      </c>
      <c r="B174" s="1">
        <v>16</v>
      </c>
      <c r="C174" s="1">
        <v>6</v>
      </c>
      <c r="D174" s="2">
        <v>44651</v>
      </c>
      <c r="E174" s="1">
        <v>5</v>
      </c>
      <c r="F174" s="1">
        <v>5</v>
      </c>
      <c r="G174" s="1">
        <v>2</v>
      </c>
      <c r="H174" s="4">
        <f t="shared" ca="1" si="8"/>
        <v>134000</v>
      </c>
      <c r="I174" s="4">
        <f t="shared" ca="1" si="9"/>
        <v>107200</v>
      </c>
      <c r="J174" s="4">
        <f t="shared" ca="1" si="10"/>
        <v>32160</v>
      </c>
      <c r="K174" s="4">
        <f t="shared" ca="1" si="11"/>
        <v>273360</v>
      </c>
    </row>
    <row r="175" spans="1:11" x14ac:dyDescent="0.3">
      <c r="A175" s="1">
        <v>174</v>
      </c>
      <c r="B175" s="1">
        <v>12</v>
      </c>
      <c r="C175" s="1">
        <v>28</v>
      </c>
      <c r="D175" s="2">
        <v>44651</v>
      </c>
      <c r="E175" s="1">
        <v>4</v>
      </c>
      <c r="F175" s="1">
        <v>1</v>
      </c>
      <c r="G175" s="1">
        <v>3</v>
      </c>
      <c r="H175" s="4">
        <f t="shared" ca="1" si="8"/>
        <v>46800</v>
      </c>
      <c r="I175" s="4">
        <f t="shared" ca="1" si="9"/>
        <v>9360</v>
      </c>
      <c r="J175" s="4">
        <f t="shared" ca="1" si="10"/>
        <v>21060</v>
      </c>
      <c r="K175" s="4">
        <f t="shared" ca="1" si="11"/>
        <v>77220</v>
      </c>
    </row>
    <row r="176" spans="1:11" x14ac:dyDescent="0.3">
      <c r="A176" s="1">
        <v>175</v>
      </c>
      <c r="B176" s="1">
        <v>13</v>
      </c>
      <c r="C176" s="1">
        <v>49</v>
      </c>
      <c r="D176" s="2">
        <v>44652</v>
      </c>
      <c r="E176" s="1">
        <v>1</v>
      </c>
      <c r="F176" s="1">
        <v>4</v>
      </c>
      <c r="G176" s="1">
        <v>5</v>
      </c>
      <c r="H176" s="4">
        <f t="shared" ca="1" si="8"/>
        <v>31200</v>
      </c>
      <c r="I176" s="4">
        <f t="shared" ca="1" si="9"/>
        <v>99840</v>
      </c>
      <c r="J176" s="4">
        <f t="shared" ca="1" si="10"/>
        <v>93600</v>
      </c>
      <c r="K176" s="4">
        <f t="shared" ca="1" si="11"/>
        <v>224640</v>
      </c>
    </row>
    <row r="177" spans="1:11" x14ac:dyDescent="0.3">
      <c r="A177" s="1">
        <v>176</v>
      </c>
      <c r="B177" s="1">
        <v>12</v>
      </c>
      <c r="C177" s="1">
        <v>53</v>
      </c>
      <c r="D177" s="2">
        <v>44652</v>
      </c>
      <c r="E177" s="1">
        <v>0</v>
      </c>
      <c r="F177" s="1">
        <v>3</v>
      </c>
      <c r="G177" s="1">
        <v>3</v>
      </c>
      <c r="H177" s="4">
        <f t="shared" ca="1" si="8"/>
        <v>0</v>
      </c>
      <c r="I177" s="4">
        <f t="shared" ca="1" si="9"/>
        <v>44160</v>
      </c>
      <c r="J177" s="4">
        <f t="shared" ca="1" si="10"/>
        <v>33120</v>
      </c>
      <c r="K177" s="4">
        <f t="shared" ca="1" si="11"/>
        <v>77280</v>
      </c>
    </row>
    <row r="178" spans="1:11" x14ac:dyDescent="0.3">
      <c r="A178" s="1">
        <v>177</v>
      </c>
      <c r="B178" s="1">
        <v>26</v>
      </c>
      <c r="C178" s="1">
        <v>55</v>
      </c>
      <c r="D178" s="2">
        <v>44652</v>
      </c>
      <c r="E178" s="1">
        <v>5</v>
      </c>
      <c r="F178" s="1">
        <v>1</v>
      </c>
      <c r="G178" s="1">
        <v>3</v>
      </c>
      <c r="H178" s="4">
        <f t="shared" ca="1" si="8"/>
        <v>73800</v>
      </c>
      <c r="I178" s="4">
        <f t="shared" ca="1" si="9"/>
        <v>11808</v>
      </c>
      <c r="J178" s="4">
        <f t="shared" ca="1" si="10"/>
        <v>26568</v>
      </c>
      <c r="K178" s="4">
        <f t="shared" ca="1" si="11"/>
        <v>112176</v>
      </c>
    </row>
    <row r="179" spans="1:11" x14ac:dyDescent="0.3">
      <c r="A179" s="1">
        <v>178</v>
      </c>
      <c r="B179" s="1">
        <v>21</v>
      </c>
      <c r="C179" s="1">
        <v>44</v>
      </c>
      <c r="D179" s="2">
        <v>44653</v>
      </c>
      <c r="E179" s="1">
        <v>3</v>
      </c>
      <c r="F179" s="1">
        <v>2</v>
      </c>
      <c r="G179" s="1">
        <v>3</v>
      </c>
      <c r="H179" s="4">
        <f t="shared" ca="1" si="8"/>
        <v>43200</v>
      </c>
      <c r="I179" s="4">
        <f t="shared" ca="1" si="9"/>
        <v>23040</v>
      </c>
      <c r="J179" s="4">
        <f t="shared" ca="1" si="10"/>
        <v>25920</v>
      </c>
      <c r="K179" s="4">
        <f t="shared" ca="1" si="11"/>
        <v>92160</v>
      </c>
    </row>
    <row r="180" spans="1:11" x14ac:dyDescent="0.3">
      <c r="A180" s="1">
        <v>179</v>
      </c>
      <c r="B180" s="1">
        <v>12</v>
      </c>
      <c r="C180" s="1">
        <v>40</v>
      </c>
      <c r="D180" s="2">
        <v>44653</v>
      </c>
      <c r="E180" s="1">
        <v>5</v>
      </c>
      <c r="F180" s="1">
        <v>2</v>
      </c>
      <c r="G180" s="1">
        <v>5</v>
      </c>
      <c r="H180" s="4">
        <f t="shared" ca="1" si="8"/>
        <v>128000</v>
      </c>
      <c r="I180" s="4">
        <f t="shared" ca="1" si="9"/>
        <v>40960</v>
      </c>
      <c r="J180" s="4">
        <f t="shared" ca="1" si="10"/>
        <v>76800</v>
      </c>
      <c r="K180" s="4">
        <f t="shared" ca="1" si="11"/>
        <v>245760</v>
      </c>
    </row>
    <row r="181" spans="1:11" x14ac:dyDescent="0.3">
      <c r="A181" s="1">
        <v>180</v>
      </c>
      <c r="B181" s="1">
        <v>8</v>
      </c>
      <c r="C181" s="1">
        <v>49</v>
      </c>
      <c r="D181" s="2">
        <v>44653</v>
      </c>
      <c r="E181" s="1">
        <v>1</v>
      </c>
      <c r="F181" s="1">
        <v>0</v>
      </c>
      <c r="G181" s="1">
        <v>5</v>
      </c>
      <c r="H181" s="4">
        <f t="shared" ca="1" si="8"/>
        <v>31200</v>
      </c>
      <c r="I181" s="4">
        <f t="shared" ca="1" si="9"/>
        <v>0</v>
      </c>
      <c r="J181" s="4">
        <f t="shared" ca="1" si="10"/>
        <v>93600</v>
      </c>
      <c r="K181" s="4">
        <f t="shared" ca="1" si="11"/>
        <v>124800</v>
      </c>
    </row>
    <row r="182" spans="1:11" x14ac:dyDescent="0.3">
      <c r="A182" s="1">
        <v>181</v>
      </c>
      <c r="B182" s="1">
        <v>11</v>
      </c>
      <c r="C182" s="1">
        <v>56</v>
      </c>
      <c r="D182" s="2">
        <v>44654</v>
      </c>
      <c r="E182" s="1">
        <v>3</v>
      </c>
      <c r="F182" s="1">
        <v>4</v>
      </c>
      <c r="G182" s="1">
        <v>5</v>
      </c>
      <c r="H182" s="4">
        <f t="shared" ca="1" si="8"/>
        <v>67230</v>
      </c>
      <c r="I182" s="4">
        <f t="shared" ca="1" si="9"/>
        <v>71712</v>
      </c>
      <c r="J182" s="4">
        <f t="shared" ca="1" si="10"/>
        <v>67230</v>
      </c>
      <c r="K182" s="4">
        <f t="shared" ca="1" si="11"/>
        <v>206172</v>
      </c>
    </row>
    <row r="183" spans="1:11" x14ac:dyDescent="0.3">
      <c r="A183" s="1">
        <v>182</v>
      </c>
      <c r="B183" s="1">
        <v>3</v>
      </c>
      <c r="C183" s="1">
        <v>32</v>
      </c>
      <c r="D183" s="2">
        <v>44655</v>
      </c>
      <c r="E183" s="1">
        <v>5</v>
      </c>
      <c r="F183" s="1">
        <v>5</v>
      </c>
      <c r="G183" s="1">
        <v>2</v>
      </c>
      <c r="H183" s="4">
        <f t="shared" ca="1" si="8"/>
        <v>127500</v>
      </c>
      <c r="I183" s="4">
        <f t="shared" ca="1" si="9"/>
        <v>102000</v>
      </c>
      <c r="J183" s="4">
        <f t="shared" ca="1" si="10"/>
        <v>30600</v>
      </c>
      <c r="K183" s="4">
        <f t="shared" ca="1" si="11"/>
        <v>260100</v>
      </c>
    </row>
    <row r="184" spans="1:11" x14ac:dyDescent="0.3">
      <c r="A184" s="1">
        <v>183</v>
      </c>
      <c r="B184" s="1">
        <v>18</v>
      </c>
      <c r="C184" s="1">
        <v>23</v>
      </c>
      <c r="D184" s="2">
        <v>44655</v>
      </c>
      <c r="E184" s="1">
        <v>1</v>
      </c>
      <c r="F184" s="1">
        <v>0</v>
      </c>
      <c r="G184" s="1">
        <v>2</v>
      </c>
      <c r="H184" s="4">
        <f t="shared" ca="1" si="8"/>
        <v>6300</v>
      </c>
      <c r="I184" s="4">
        <f t="shared" ca="1" si="9"/>
        <v>0</v>
      </c>
      <c r="J184" s="4">
        <f t="shared" ca="1" si="10"/>
        <v>7560</v>
      </c>
      <c r="K184" s="4">
        <f t="shared" ca="1" si="11"/>
        <v>13860</v>
      </c>
    </row>
    <row r="185" spans="1:11" x14ac:dyDescent="0.3">
      <c r="A185" s="1">
        <v>184</v>
      </c>
      <c r="B185" s="1">
        <v>8</v>
      </c>
      <c r="C185" s="1">
        <v>39</v>
      </c>
      <c r="D185" s="2">
        <v>44655</v>
      </c>
      <c r="E185" s="1">
        <v>4</v>
      </c>
      <c r="F185" s="1">
        <v>1</v>
      </c>
      <c r="G185" s="1">
        <v>2</v>
      </c>
      <c r="H185" s="4">
        <f t="shared" ca="1" si="8"/>
        <v>75600</v>
      </c>
      <c r="I185" s="4">
        <f t="shared" ca="1" si="9"/>
        <v>15120</v>
      </c>
      <c r="J185" s="4">
        <f t="shared" ca="1" si="10"/>
        <v>22680</v>
      </c>
      <c r="K185" s="4">
        <f t="shared" ca="1" si="11"/>
        <v>113400</v>
      </c>
    </row>
    <row r="186" spans="1:11" x14ac:dyDescent="0.3">
      <c r="A186" s="1">
        <v>185</v>
      </c>
      <c r="B186" s="1">
        <v>23</v>
      </c>
      <c r="C186" s="1">
        <v>12</v>
      </c>
      <c r="D186" s="2">
        <v>44656</v>
      </c>
      <c r="E186" s="1">
        <v>4</v>
      </c>
      <c r="F186" s="1">
        <v>2</v>
      </c>
      <c r="G186" s="1">
        <v>2</v>
      </c>
      <c r="H186" s="4">
        <f t="shared" ca="1" si="8"/>
        <v>54000</v>
      </c>
      <c r="I186" s="4">
        <f t="shared" ca="1" si="9"/>
        <v>21600</v>
      </c>
      <c r="J186" s="4">
        <f t="shared" ca="1" si="10"/>
        <v>16200</v>
      </c>
      <c r="K186" s="4">
        <f t="shared" ca="1" si="11"/>
        <v>91800</v>
      </c>
    </row>
    <row r="187" spans="1:11" x14ac:dyDescent="0.3">
      <c r="A187" s="1">
        <v>186</v>
      </c>
      <c r="B187" s="1">
        <v>14</v>
      </c>
      <c r="C187" s="1">
        <v>44</v>
      </c>
      <c r="D187" s="2">
        <v>44656</v>
      </c>
      <c r="E187" s="1">
        <v>3</v>
      </c>
      <c r="F187" s="1">
        <v>3</v>
      </c>
      <c r="G187" s="1">
        <v>4</v>
      </c>
      <c r="H187" s="4">
        <f t="shared" ca="1" si="8"/>
        <v>43200</v>
      </c>
      <c r="I187" s="4">
        <f t="shared" ca="1" si="9"/>
        <v>34560</v>
      </c>
      <c r="J187" s="4">
        <f t="shared" ca="1" si="10"/>
        <v>34560</v>
      </c>
      <c r="K187" s="4">
        <f t="shared" ca="1" si="11"/>
        <v>112320</v>
      </c>
    </row>
    <row r="188" spans="1:11" x14ac:dyDescent="0.3">
      <c r="A188" s="1">
        <v>187</v>
      </c>
      <c r="B188" s="1">
        <v>24</v>
      </c>
      <c r="C188" s="1">
        <v>32</v>
      </c>
      <c r="D188" s="2">
        <v>44656</v>
      </c>
      <c r="E188" s="1">
        <v>0</v>
      </c>
      <c r="F188" s="1">
        <v>3</v>
      </c>
      <c r="G188" s="1">
        <v>5</v>
      </c>
      <c r="H188" s="4">
        <f t="shared" ca="1" si="8"/>
        <v>0</v>
      </c>
      <c r="I188" s="4">
        <f t="shared" ca="1" si="9"/>
        <v>61200</v>
      </c>
      <c r="J188" s="4">
        <f t="shared" ca="1" si="10"/>
        <v>76500</v>
      </c>
      <c r="K188" s="4">
        <f t="shared" ca="1" si="11"/>
        <v>137700</v>
      </c>
    </row>
    <row r="189" spans="1:11" x14ac:dyDescent="0.3">
      <c r="A189" s="1">
        <v>188</v>
      </c>
      <c r="B189" s="1">
        <v>3</v>
      </c>
      <c r="C189" s="1">
        <v>10</v>
      </c>
      <c r="D189" s="2">
        <v>44656</v>
      </c>
      <c r="E189" s="1">
        <v>2</v>
      </c>
      <c r="F189" s="1">
        <v>5</v>
      </c>
      <c r="G189" s="1">
        <v>3</v>
      </c>
      <c r="H189" s="4">
        <f t="shared" ca="1" si="8"/>
        <v>44800</v>
      </c>
      <c r="I189" s="4">
        <f t="shared" ca="1" si="9"/>
        <v>89600</v>
      </c>
      <c r="J189" s="4">
        <f t="shared" ca="1" si="10"/>
        <v>40320</v>
      </c>
      <c r="K189" s="4">
        <f t="shared" ca="1" si="11"/>
        <v>174720</v>
      </c>
    </row>
    <row r="190" spans="1:11" x14ac:dyDescent="0.3">
      <c r="A190" s="1">
        <v>189</v>
      </c>
      <c r="B190" s="1">
        <v>20</v>
      </c>
      <c r="C190" s="1">
        <v>18</v>
      </c>
      <c r="D190" s="2">
        <v>44656</v>
      </c>
      <c r="E190" s="1">
        <v>2</v>
      </c>
      <c r="F190" s="1">
        <v>5</v>
      </c>
      <c r="G190" s="1">
        <v>0</v>
      </c>
      <c r="H190" s="4">
        <f t="shared" ca="1" si="8"/>
        <v>52200</v>
      </c>
      <c r="I190" s="4">
        <f t="shared" ca="1" si="9"/>
        <v>104400</v>
      </c>
      <c r="J190" s="4">
        <f t="shared" ca="1" si="10"/>
        <v>0</v>
      </c>
      <c r="K190" s="4">
        <f t="shared" ca="1" si="11"/>
        <v>156600</v>
      </c>
    </row>
    <row r="191" spans="1:11" x14ac:dyDescent="0.3">
      <c r="A191" s="1">
        <v>190</v>
      </c>
      <c r="B191" s="1">
        <v>3</v>
      </c>
      <c r="C191" s="1">
        <v>56</v>
      </c>
      <c r="D191" s="2">
        <v>44657</v>
      </c>
      <c r="E191" s="1">
        <v>4</v>
      </c>
      <c r="F191" s="1">
        <v>5</v>
      </c>
      <c r="G191" s="1">
        <v>4</v>
      </c>
      <c r="H191" s="4">
        <f t="shared" ca="1" si="8"/>
        <v>89640</v>
      </c>
      <c r="I191" s="4">
        <f t="shared" ca="1" si="9"/>
        <v>89640</v>
      </c>
      <c r="J191" s="4">
        <f t="shared" ca="1" si="10"/>
        <v>53784</v>
      </c>
      <c r="K191" s="4">
        <f t="shared" ca="1" si="11"/>
        <v>233064</v>
      </c>
    </row>
    <row r="192" spans="1:11" x14ac:dyDescent="0.3">
      <c r="A192" s="1">
        <v>191</v>
      </c>
      <c r="B192" s="1">
        <v>7</v>
      </c>
      <c r="C192" s="1">
        <v>25</v>
      </c>
      <c r="D192" s="2">
        <v>44657</v>
      </c>
      <c r="E192" s="1">
        <v>4</v>
      </c>
      <c r="F192" s="1">
        <v>3</v>
      </c>
      <c r="G192" s="1">
        <v>1</v>
      </c>
      <c r="H192" s="4">
        <f t="shared" ca="1" si="8"/>
        <v>108000</v>
      </c>
      <c r="I192" s="4">
        <f t="shared" ca="1" si="9"/>
        <v>64800</v>
      </c>
      <c r="J192" s="4">
        <f t="shared" ca="1" si="10"/>
        <v>16200</v>
      </c>
      <c r="K192" s="4">
        <f t="shared" ca="1" si="11"/>
        <v>189000</v>
      </c>
    </row>
    <row r="193" spans="1:11" x14ac:dyDescent="0.3">
      <c r="A193" s="1">
        <v>192</v>
      </c>
      <c r="B193" s="1">
        <v>23</v>
      </c>
      <c r="C193" s="1">
        <v>43</v>
      </c>
      <c r="D193" s="2">
        <v>44657</v>
      </c>
      <c r="E193" s="1">
        <v>2</v>
      </c>
      <c r="F193" s="1">
        <v>5</v>
      </c>
      <c r="G193" s="1">
        <v>5</v>
      </c>
      <c r="H193" s="4">
        <f t="shared" ca="1" si="8"/>
        <v>43200</v>
      </c>
      <c r="I193" s="4">
        <f t="shared" ca="1" si="9"/>
        <v>86400</v>
      </c>
      <c r="J193" s="4">
        <f t="shared" ca="1" si="10"/>
        <v>64800</v>
      </c>
      <c r="K193" s="4">
        <f t="shared" ca="1" si="11"/>
        <v>194400</v>
      </c>
    </row>
    <row r="194" spans="1:11" x14ac:dyDescent="0.3">
      <c r="A194" s="1">
        <v>193</v>
      </c>
      <c r="B194" s="1">
        <v>27</v>
      </c>
      <c r="C194" s="1">
        <v>47</v>
      </c>
      <c r="D194" s="2">
        <v>44657</v>
      </c>
      <c r="E194" s="1">
        <v>0</v>
      </c>
      <c r="F194" s="1">
        <v>0</v>
      </c>
      <c r="G194" s="1">
        <v>4</v>
      </c>
      <c r="H194" s="4">
        <f t="shared" ref="H194:H257" ca="1" si="12">VLOOKUP(C194,패키지,5,0)*E194</f>
        <v>0</v>
      </c>
      <c r="I194" s="4">
        <f t="shared" ref="I194:I257" ca="1" si="13">VLOOKUP(C194,패키지,5,0)*0.8*F194</f>
        <v>0</v>
      </c>
      <c r="J194" s="4">
        <f t="shared" ref="J194:J257" ca="1" si="14">VLOOKUP(C194,패키지,5,0)*0.6*G194</f>
        <v>28080</v>
      </c>
      <c r="K194" s="4">
        <f t="shared" ca="1" si="11"/>
        <v>28080</v>
      </c>
    </row>
    <row r="195" spans="1:11" x14ac:dyDescent="0.3">
      <c r="A195" s="1">
        <v>194</v>
      </c>
      <c r="B195" s="1">
        <v>3</v>
      </c>
      <c r="C195" s="1">
        <v>19</v>
      </c>
      <c r="D195" s="2">
        <v>44658</v>
      </c>
      <c r="E195" s="1">
        <v>2</v>
      </c>
      <c r="F195" s="1">
        <v>2</v>
      </c>
      <c r="G195" s="1">
        <v>1</v>
      </c>
      <c r="H195" s="4">
        <f t="shared" ca="1" si="12"/>
        <v>37800</v>
      </c>
      <c r="I195" s="4">
        <f t="shared" ca="1" si="13"/>
        <v>30240</v>
      </c>
      <c r="J195" s="4">
        <f t="shared" ca="1" si="14"/>
        <v>11340</v>
      </c>
      <c r="K195" s="4">
        <f t="shared" ref="K195:K258" ca="1" si="15">SUM(J195,I195,H195)</f>
        <v>79380</v>
      </c>
    </row>
    <row r="196" spans="1:11" x14ac:dyDescent="0.3">
      <c r="A196" s="1">
        <v>195</v>
      </c>
      <c r="B196" s="1">
        <v>18</v>
      </c>
      <c r="C196" s="1">
        <v>20</v>
      </c>
      <c r="D196" s="2">
        <v>44658</v>
      </c>
      <c r="E196" s="1">
        <v>1</v>
      </c>
      <c r="F196" s="1">
        <v>5</v>
      </c>
      <c r="G196" s="1">
        <v>4</v>
      </c>
      <c r="H196" s="4">
        <f t="shared" ca="1" si="12"/>
        <v>23800</v>
      </c>
      <c r="I196" s="4">
        <f t="shared" ca="1" si="13"/>
        <v>95200</v>
      </c>
      <c r="J196" s="4">
        <f t="shared" ca="1" si="14"/>
        <v>57120</v>
      </c>
      <c r="K196" s="4">
        <f t="shared" ca="1" si="15"/>
        <v>176120</v>
      </c>
    </row>
    <row r="197" spans="1:11" x14ac:dyDescent="0.3">
      <c r="A197" s="1">
        <v>196</v>
      </c>
      <c r="B197" s="1">
        <v>16</v>
      </c>
      <c r="C197" s="1">
        <v>5</v>
      </c>
      <c r="D197" s="2">
        <v>44658</v>
      </c>
      <c r="E197" s="1">
        <v>5</v>
      </c>
      <c r="F197" s="1">
        <v>5</v>
      </c>
      <c r="G197" s="1">
        <v>4</v>
      </c>
      <c r="H197" s="4">
        <f t="shared" ca="1" si="12"/>
        <v>117600</v>
      </c>
      <c r="I197" s="4">
        <f t="shared" ca="1" si="13"/>
        <v>94080</v>
      </c>
      <c r="J197" s="4">
        <f t="shared" ca="1" si="14"/>
        <v>56448</v>
      </c>
      <c r="K197" s="4">
        <f t="shared" ca="1" si="15"/>
        <v>268128</v>
      </c>
    </row>
    <row r="198" spans="1:11" x14ac:dyDescent="0.3">
      <c r="A198" s="1">
        <v>197</v>
      </c>
      <c r="B198" s="1">
        <v>19</v>
      </c>
      <c r="C198" s="1">
        <v>36</v>
      </c>
      <c r="D198" s="2">
        <v>44658</v>
      </c>
      <c r="E198" s="1">
        <v>0</v>
      </c>
      <c r="F198" s="1">
        <v>2</v>
      </c>
      <c r="G198" s="1">
        <v>5</v>
      </c>
      <c r="H198" s="4">
        <f t="shared" ca="1" si="12"/>
        <v>0</v>
      </c>
      <c r="I198" s="4">
        <f t="shared" ca="1" si="13"/>
        <v>32400</v>
      </c>
      <c r="J198" s="4">
        <f t="shared" ca="1" si="14"/>
        <v>60750</v>
      </c>
      <c r="K198" s="4">
        <f t="shared" ca="1" si="15"/>
        <v>93150</v>
      </c>
    </row>
    <row r="199" spans="1:11" x14ac:dyDescent="0.3">
      <c r="A199" s="1">
        <v>198</v>
      </c>
      <c r="B199" s="1">
        <v>27</v>
      </c>
      <c r="C199" s="1">
        <v>50</v>
      </c>
      <c r="D199" s="2">
        <v>44658</v>
      </c>
      <c r="E199" s="1">
        <v>5</v>
      </c>
      <c r="F199" s="1">
        <v>3</v>
      </c>
      <c r="G199" s="1">
        <v>5</v>
      </c>
      <c r="H199" s="4">
        <f t="shared" ca="1" si="12"/>
        <v>171000</v>
      </c>
      <c r="I199" s="4">
        <f t="shared" ca="1" si="13"/>
        <v>82080</v>
      </c>
      <c r="J199" s="4">
        <f t="shared" ca="1" si="14"/>
        <v>102600</v>
      </c>
      <c r="K199" s="4">
        <f t="shared" ca="1" si="15"/>
        <v>355680</v>
      </c>
    </row>
    <row r="200" spans="1:11" x14ac:dyDescent="0.3">
      <c r="A200" s="1">
        <v>199</v>
      </c>
      <c r="B200" s="1">
        <v>8</v>
      </c>
      <c r="C200" s="1">
        <v>13</v>
      </c>
      <c r="D200" s="2">
        <v>44659</v>
      </c>
      <c r="E200" s="1">
        <v>1</v>
      </c>
      <c r="F200" s="1">
        <v>3</v>
      </c>
      <c r="G200" s="1">
        <v>1</v>
      </c>
      <c r="H200" s="4">
        <f t="shared" ca="1" si="12"/>
        <v>37600</v>
      </c>
      <c r="I200" s="4">
        <f t="shared" ca="1" si="13"/>
        <v>90240</v>
      </c>
      <c r="J200" s="4">
        <f t="shared" ca="1" si="14"/>
        <v>22560</v>
      </c>
      <c r="K200" s="4">
        <f t="shared" ca="1" si="15"/>
        <v>150400</v>
      </c>
    </row>
    <row r="201" spans="1:11" x14ac:dyDescent="0.3">
      <c r="A201" s="1">
        <v>200</v>
      </c>
      <c r="B201" s="1">
        <v>2</v>
      </c>
      <c r="C201" s="1">
        <v>52</v>
      </c>
      <c r="D201" s="2">
        <v>44659</v>
      </c>
      <c r="E201" s="1">
        <v>1</v>
      </c>
      <c r="F201" s="1">
        <v>5</v>
      </c>
      <c r="G201" s="1">
        <v>3</v>
      </c>
      <c r="H201" s="4">
        <f t="shared" ca="1" si="12"/>
        <v>16200</v>
      </c>
      <c r="I201" s="4">
        <f t="shared" ca="1" si="13"/>
        <v>64800</v>
      </c>
      <c r="J201" s="4">
        <f t="shared" ca="1" si="14"/>
        <v>29160</v>
      </c>
      <c r="K201" s="4">
        <f t="shared" ca="1" si="15"/>
        <v>110160</v>
      </c>
    </row>
    <row r="202" spans="1:11" x14ac:dyDescent="0.3">
      <c r="A202" s="1">
        <v>201</v>
      </c>
      <c r="B202" s="1">
        <v>17</v>
      </c>
      <c r="C202" s="1">
        <v>54</v>
      </c>
      <c r="D202" s="2">
        <v>44659</v>
      </c>
      <c r="E202" s="1">
        <v>3</v>
      </c>
      <c r="F202" s="1">
        <v>1</v>
      </c>
      <c r="G202" s="1">
        <v>2</v>
      </c>
      <c r="H202" s="4">
        <f t="shared" ca="1" si="12"/>
        <v>66420</v>
      </c>
      <c r="I202" s="4">
        <f t="shared" ca="1" si="13"/>
        <v>17712</v>
      </c>
      <c r="J202" s="4">
        <f t="shared" ca="1" si="14"/>
        <v>26568</v>
      </c>
      <c r="K202" s="4">
        <f t="shared" ca="1" si="15"/>
        <v>110700</v>
      </c>
    </row>
    <row r="203" spans="1:11" x14ac:dyDescent="0.3">
      <c r="A203" s="1">
        <v>202</v>
      </c>
      <c r="B203" s="1">
        <v>25</v>
      </c>
      <c r="C203" s="1">
        <v>6</v>
      </c>
      <c r="D203" s="2">
        <v>44660</v>
      </c>
      <c r="E203" s="1">
        <v>5</v>
      </c>
      <c r="F203" s="1">
        <v>4</v>
      </c>
      <c r="G203" s="1">
        <v>0</v>
      </c>
      <c r="H203" s="4">
        <f t="shared" ca="1" si="12"/>
        <v>134000</v>
      </c>
      <c r="I203" s="4">
        <f t="shared" ca="1" si="13"/>
        <v>85760</v>
      </c>
      <c r="J203" s="4">
        <f t="shared" ca="1" si="14"/>
        <v>0</v>
      </c>
      <c r="K203" s="4">
        <f t="shared" ca="1" si="15"/>
        <v>219760</v>
      </c>
    </row>
    <row r="204" spans="1:11" x14ac:dyDescent="0.3">
      <c r="A204" s="1">
        <v>203</v>
      </c>
      <c r="B204" s="1">
        <v>8</v>
      </c>
      <c r="C204" s="1">
        <v>36</v>
      </c>
      <c r="D204" s="2">
        <v>44661</v>
      </c>
      <c r="E204" s="1">
        <v>0</v>
      </c>
      <c r="F204" s="1">
        <v>5</v>
      </c>
      <c r="G204" s="1">
        <v>1</v>
      </c>
      <c r="H204" s="4">
        <f t="shared" ca="1" si="12"/>
        <v>0</v>
      </c>
      <c r="I204" s="4">
        <f t="shared" ca="1" si="13"/>
        <v>81000</v>
      </c>
      <c r="J204" s="4">
        <f t="shared" ca="1" si="14"/>
        <v>12150</v>
      </c>
      <c r="K204" s="4">
        <f t="shared" ca="1" si="15"/>
        <v>93150</v>
      </c>
    </row>
    <row r="205" spans="1:11" x14ac:dyDescent="0.3">
      <c r="A205" s="1">
        <v>204</v>
      </c>
      <c r="B205" s="1">
        <v>25</v>
      </c>
      <c r="C205" s="1">
        <v>10</v>
      </c>
      <c r="D205" s="2">
        <v>44661</v>
      </c>
      <c r="E205" s="1">
        <v>1</v>
      </c>
      <c r="F205" s="1">
        <v>4</v>
      </c>
      <c r="G205" s="1">
        <v>5</v>
      </c>
      <c r="H205" s="4">
        <f t="shared" ca="1" si="12"/>
        <v>22400</v>
      </c>
      <c r="I205" s="4">
        <f t="shared" ca="1" si="13"/>
        <v>71680</v>
      </c>
      <c r="J205" s="4">
        <f t="shared" ca="1" si="14"/>
        <v>67200</v>
      </c>
      <c r="K205" s="4">
        <f t="shared" ca="1" si="15"/>
        <v>161280</v>
      </c>
    </row>
    <row r="206" spans="1:11" x14ac:dyDescent="0.3">
      <c r="A206" s="1">
        <v>205</v>
      </c>
      <c r="B206" s="1">
        <v>11</v>
      </c>
      <c r="C206" s="1">
        <v>51</v>
      </c>
      <c r="D206" s="2">
        <v>44663</v>
      </c>
      <c r="E206" s="1">
        <v>0</v>
      </c>
      <c r="F206" s="1">
        <v>3</v>
      </c>
      <c r="G206" s="1">
        <v>3</v>
      </c>
      <c r="H206" s="4">
        <f t="shared" ca="1" si="12"/>
        <v>0</v>
      </c>
      <c r="I206" s="4">
        <f t="shared" ca="1" si="13"/>
        <v>23760</v>
      </c>
      <c r="J206" s="4">
        <f t="shared" ca="1" si="14"/>
        <v>17820</v>
      </c>
      <c r="K206" s="4">
        <f t="shared" ca="1" si="15"/>
        <v>41580</v>
      </c>
    </row>
    <row r="207" spans="1:11" x14ac:dyDescent="0.3">
      <c r="A207" s="1">
        <v>206</v>
      </c>
      <c r="B207" s="1">
        <v>17</v>
      </c>
      <c r="C207" s="1">
        <v>26</v>
      </c>
      <c r="D207" s="2">
        <v>44663</v>
      </c>
      <c r="E207" s="1">
        <v>4</v>
      </c>
      <c r="F207" s="1">
        <v>3</v>
      </c>
      <c r="G207" s="1">
        <v>3</v>
      </c>
      <c r="H207" s="4">
        <f t="shared" ca="1" si="12"/>
        <v>91200</v>
      </c>
      <c r="I207" s="4">
        <f t="shared" ca="1" si="13"/>
        <v>54720</v>
      </c>
      <c r="J207" s="4">
        <f t="shared" ca="1" si="14"/>
        <v>41040</v>
      </c>
      <c r="K207" s="4">
        <f t="shared" ca="1" si="15"/>
        <v>186960</v>
      </c>
    </row>
    <row r="208" spans="1:11" x14ac:dyDescent="0.3">
      <c r="A208" s="1">
        <v>207</v>
      </c>
      <c r="B208" s="1">
        <v>1</v>
      </c>
      <c r="C208" s="1">
        <v>21</v>
      </c>
      <c r="D208" s="2">
        <v>44664</v>
      </c>
      <c r="E208" s="1">
        <v>0</v>
      </c>
      <c r="F208" s="1">
        <v>0</v>
      </c>
      <c r="G208" s="1">
        <v>2</v>
      </c>
      <c r="H208" s="4">
        <f t="shared" ca="1" si="12"/>
        <v>0</v>
      </c>
      <c r="I208" s="4">
        <f t="shared" ca="1" si="13"/>
        <v>0</v>
      </c>
      <c r="J208" s="4">
        <f t="shared" ca="1" si="14"/>
        <v>24000</v>
      </c>
      <c r="K208" s="4">
        <f t="shared" ca="1" si="15"/>
        <v>24000</v>
      </c>
    </row>
    <row r="209" spans="1:11" x14ac:dyDescent="0.3">
      <c r="A209" s="1">
        <v>208</v>
      </c>
      <c r="B209" s="1">
        <v>23</v>
      </c>
      <c r="C209" s="1">
        <v>25</v>
      </c>
      <c r="D209" s="2">
        <v>44664</v>
      </c>
      <c r="E209" s="1">
        <v>0</v>
      </c>
      <c r="F209" s="1">
        <v>0</v>
      </c>
      <c r="G209" s="1">
        <v>2</v>
      </c>
      <c r="H209" s="4">
        <f t="shared" ca="1" si="12"/>
        <v>0</v>
      </c>
      <c r="I209" s="4">
        <f t="shared" ca="1" si="13"/>
        <v>0</v>
      </c>
      <c r="J209" s="4">
        <f t="shared" ca="1" si="14"/>
        <v>32400</v>
      </c>
      <c r="K209" s="4">
        <f t="shared" ca="1" si="15"/>
        <v>32400</v>
      </c>
    </row>
    <row r="210" spans="1:11" x14ac:dyDescent="0.3">
      <c r="A210" s="1">
        <v>209</v>
      </c>
      <c r="B210" s="1">
        <v>22</v>
      </c>
      <c r="C210" s="1">
        <v>5</v>
      </c>
      <c r="D210" s="2">
        <v>44665</v>
      </c>
      <c r="E210" s="1">
        <v>0</v>
      </c>
      <c r="F210" s="1">
        <v>3</v>
      </c>
      <c r="G210" s="1">
        <v>3</v>
      </c>
      <c r="H210" s="4">
        <f t="shared" ca="1" si="12"/>
        <v>0</v>
      </c>
      <c r="I210" s="4">
        <f t="shared" ca="1" si="13"/>
        <v>56448</v>
      </c>
      <c r="J210" s="4">
        <f t="shared" ca="1" si="14"/>
        <v>42336</v>
      </c>
      <c r="K210" s="4">
        <f t="shared" ca="1" si="15"/>
        <v>98784</v>
      </c>
    </row>
    <row r="211" spans="1:11" x14ac:dyDescent="0.3">
      <c r="A211" s="1">
        <v>210</v>
      </c>
      <c r="B211" s="1">
        <v>2</v>
      </c>
      <c r="C211" s="1">
        <v>43</v>
      </c>
      <c r="D211" s="2">
        <v>44665</v>
      </c>
      <c r="E211" s="1">
        <v>2</v>
      </c>
      <c r="F211" s="1">
        <v>4</v>
      </c>
      <c r="G211" s="1">
        <v>5</v>
      </c>
      <c r="H211" s="4">
        <f t="shared" ca="1" si="12"/>
        <v>43200</v>
      </c>
      <c r="I211" s="4">
        <f t="shared" ca="1" si="13"/>
        <v>69120</v>
      </c>
      <c r="J211" s="4">
        <f t="shared" ca="1" si="14"/>
        <v>64800</v>
      </c>
      <c r="K211" s="4">
        <f t="shared" ca="1" si="15"/>
        <v>177120</v>
      </c>
    </row>
    <row r="212" spans="1:11" x14ac:dyDescent="0.3">
      <c r="A212" s="1">
        <v>211</v>
      </c>
      <c r="B212" s="1">
        <v>27</v>
      </c>
      <c r="C212" s="1">
        <v>57</v>
      </c>
      <c r="D212" s="2">
        <v>44665</v>
      </c>
      <c r="E212" s="1">
        <v>4</v>
      </c>
      <c r="F212" s="1">
        <v>4</v>
      </c>
      <c r="G212" s="1">
        <v>0</v>
      </c>
      <c r="H212" s="4">
        <f t="shared" ca="1" si="12"/>
        <v>80320</v>
      </c>
      <c r="I212" s="4">
        <f t="shared" ca="1" si="13"/>
        <v>64256</v>
      </c>
      <c r="J212" s="4">
        <f t="shared" ca="1" si="14"/>
        <v>0</v>
      </c>
      <c r="K212" s="4">
        <f t="shared" ca="1" si="15"/>
        <v>144576</v>
      </c>
    </row>
    <row r="213" spans="1:11" x14ac:dyDescent="0.3">
      <c r="A213" s="1">
        <v>212</v>
      </c>
      <c r="B213" s="1">
        <v>4</v>
      </c>
      <c r="C213" s="1">
        <v>28</v>
      </c>
      <c r="D213" s="2">
        <v>44666</v>
      </c>
      <c r="E213" s="1">
        <v>1</v>
      </c>
      <c r="F213" s="1">
        <v>1</v>
      </c>
      <c r="G213" s="1">
        <v>4</v>
      </c>
      <c r="H213" s="4">
        <f t="shared" ca="1" si="12"/>
        <v>11700</v>
      </c>
      <c r="I213" s="4">
        <f t="shared" ca="1" si="13"/>
        <v>9360</v>
      </c>
      <c r="J213" s="4">
        <f t="shared" ca="1" si="14"/>
        <v>28080</v>
      </c>
      <c r="K213" s="4">
        <f t="shared" ca="1" si="15"/>
        <v>49140</v>
      </c>
    </row>
    <row r="214" spans="1:11" x14ac:dyDescent="0.3">
      <c r="A214" s="1">
        <v>213</v>
      </c>
      <c r="B214" s="1">
        <v>6</v>
      </c>
      <c r="C214" s="1">
        <v>52</v>
      </c>
      <c r="D214" s="2">
        <v>44668</v>
      </c>
      <c r="E214" s="1">
        <v>3</v>
      </c>
      <c r="F214" s="1">
        <v>3</v>
      </c>
      <c r="G214" s="1">
        <v>3</v>
      </c>
      <c r="H214" s="4">
        <f t="shared" ca="1" si="12"/>
        <v>48600</v>
      </c>
      <c r="I214" s="4">
        <f t="shared" ca="1" si="13"/>
        <v>38880</v>
      </c>
      <c r="J214" s="4">
        <f t="shared" ca="1" si="14"/>
        <v>29160</v>
      </c>
      <c r="K214" s="4">
        <f t="shared" ca="1" si="15"/>
        <v>116640</v>
      </c>
    </row>
    <row r="215" spans="1:11" x14ac:dyDescent="0.3">
      <c r="A215" s="1">
        <v>214</v>
      </c>
      <c r="B215" s="1">
        <v>16</v>
      </c>
      <c r="C215" s="1">
        <v>6</v>
      </c>
      <c r="D215" s="2">
        <v>44668</v>
      </c>
      <c r="E215" s="1">
        <v>1</v>
      </c>
      <c r="F215" s="1">
        <v>4</v>
      </c>
      <c r="G215" s="1">
        <v>2</v>
      </c>
      <c r="H215" s="4">
        <f t="shared" ca="1" si="12"/>
        <v>26800</v>
      </c>
      <c r="I215" s="4">
        <f t="shared" ca="1" si="13"/>
        <v>85760</v>
      </c>
      <c r="J215" s="4">
        <f t="shared" ca="1" si="14"/>
        <v>32160</v>
      </c>
      <c r="K215" s="4">
        <f t="shared" ca="1" si="15"/>
        <v>144720</v>
      </c>
    </row>
    <row r="216" spans="1:11" x14ac:dyDescent="0.3">
      <c r="A216" s="1">
        <v>215</v>
      </c>
      <c r="B216" s="1">
        <v>6</v>
      </c>
      <c r="C216" s="1">
        <v>22</v>
      </c>
      <c r="D216" s="2">
        <v>44669</v>
      </c>
      <c r="E216" s="1">
        <v>2</v>
      </c>
      <c r="F216" s="1">
        <v>1</v>
      </c>
      <c r="G216" s="1">
        <v>1</v>
      </c>
      <c r="H216" s="4">
        <f t="shared" ca="1" si="12"/>
        <v>25200</v>
      </c>
      <c r="I216" s="4">
        <f t="shared" ca="1" si="13"/>
        <v>10080</v>
      </c>
      <c r="J216" s="4">
        <f t="shared" ca="1" si="14"/>
        <v>7560</v>
      </c>
      <c r="K216" s="4">
        <f t="shared" ca="1" si="15"/>
        <v>42840</v>
      </c>
    </row>
    <row r="217" spans="1:11" x14ac:dyDescent="0.3">
      <c r="A217" s="1">
        <v>216</v>
      </c>
      <c r="B217" s="1">
        <v>3</v>
      </c>
      <c r="C217" s="1">
        <v>29</v>
      </c>
      <c r="D217" s="2">
        <v>44670</v>
      </c>
      <c r="E217" s="1">
        <v>1</v>
      </c>
      <c r="F217" s="1">
        <v>4</v>
      </c>
      <c r="G217" s="1">
        <v>5</v>
      </c>
      <c r="H217" s="4">
        <f t="shared" ca="1" si="12"/>
        <v>11200</v>
      </c>
      <c r="I217" s="4">
        <f t="shared" ca="1" si="13"/>
        <v>35840</v>
      </c>
      <c r="J217" s="4">
        <f t="shared" ca="1" si="14"/>
        <v>33600</v>
      </c>
      <c r="K217" s="4">
        <f t="shared" ca="1" si="15"/>
        <v>80640</v>
      </c>
    </row>
    <row r="218" spans="1:11" x14ac:dyDescent="0.3">
      <c r="A218" s="1">
        <v>217</v>
      </c>
      <c r="B218" s="1">
        <v>12</v>
      </c>
      <c r="C218" s="1">
        <v>41</v>
      </c>
      <c r="D218" s="2">
        <v>44671</v>
      </c>
      <c r="E218" s="1">
        <v>0</v>
      </c>
      <c r="F218" s="1">
        <v>3</v>
      </c>
      <c r="G218" s="1">
        <v>5</v>
      </c>
      <c r="H218" s="4">
        <f t="shared" ca="1" si="12"/>
        <v>0</v>
      </c>
      <c r="I218" s="4">
        <f t="shared" ca="1" si="13"/>
        <v>80640</v>
      </c>
      <c r="J218" s="4">
        <f t="shared" ca="1" si="14"/>
        <v>100800</v>
      </c>
      <c r="K218" s="4">
        <f t="shared" ca="1" si="15"/>
        <v>181440</v>
      </c>
    </row>
    <row r="219" spans="1:11" x14ac:dyDescent="0.3">
      <c r="A219" s="1">
        <v>218</v>
      </c>
      <c r="B219" s="1">
        <v>18</v>
      </c>
      <c r="C219" s="1">
        <v>2</v>
      </c>
      <c r="D219" s="2">
        <v>44672</v>
      </c>
      <c r="E219" s="1">
        <v>0</v>
      </c>
      <c r="F219" s="1">
        <v>4</v>
      </c>
      <c r="G219" s="1">
        <v>4</v>
      </c>
      <c r="H219" s="4">
        <f t="shared" ca="1" si="12"/>
        <v>0</v>
      </c>
      <c r="I219" s="4">
        <f t="shared" ca="1" si="13"/>
        <v>85568</v>
      </c>
      <c r="J219" s="4">
        <f t="shared" ca="1" si="14"/>
        <v>64176</v>
      </c>
      <c r="K219" s="4">
        <f t="shared" ca="1" si="15"/>
        <v>149744</v>
      </c>
    </row>
    <row r="220" spans="1:11" x14ac:dyDescent="0.3">
      <c r="A220" s="1">
        <v>219</v>
      </c>
      <c r="B220" s="1">
        <v>7</v>
      </c>
      <c r="C220" s="1">
        <v>55</v>
      </c>
      <c r="D220" s="2">
        <v>44672</v>
      </c>
      <c r="E220" s="1">
        <v>2</v>
      </c>
      <c r="F220" s="1">
        <v>4</v>
      </c>
      <c r="G220" s="1">
        <v>4</v>
      </c>
      <c r="H220" s="4">
        <f t="shared" ca="1" si="12"/>
        <v>29520</v>
      </c>
      <c r="I220" s="4">
        <f t="shared" ca="1" si="13"/>
        <v>47232</v>
      </c>
      <c r="J220" s="4">
        <f t="shared" ca="1" si="14"/>
        <v>35424</v>
      </c>
      <c r="K220" s="4">
        <f t="shared" ca="1" si="15"/>
        <v>112176</v>
      </c>
    </row>
    <row r="221" spans="1:11" x14ac:dyDescent="0.3">
      <c r="A221" s="1">
        <v>220</v>
      </c>
      <c r="B221" s="1">
        <v>7</v>
      </c>
      <c r="C221" s="1">
        <v>16</v>
      </c>
      <c r="D221" s="2">
        <v>44672</v>
      </c>
      <c r="E221" s="1">
        <v>0</v>
      </c>
      <c r="F221" s="1">
        <v>0</v>
      </c>
      <c r="G221" s="1">
        <v>2</v>
      </c>
      <c r="H221" s="4">
        <f t="shared" ca="1" si="12"/>
        <v>0</v>
      </c>
      <c r="I221" s="4">
        <f t="shared" ca="1" si="13"/>
        <v>0</v>
      </c>
      <c r="J221" s="4">
        <f t="shared" ca="1" si="14"/>
        <v>37440</v>
      </c>
      <c r="K221" s="4">
        <f t="shared" ca="1" si="15"/>
        <v>37440</v>
      </c>
    </row>
    <row r="222" spans="1:11" x14ac:dyDescent="0.3">
      <c r="A222" s="1">
        <v>221</v>
      </c>
      <c r="B222" s="1">
        <v>8</v>
      </c>
      <c r="C222" s="1">
        <v>28</v>
      </c>
      <c r="D222" s="2">
        <v>44673</v>
      </c>
      <c r="E222" s="1">
        <v>2</v>
      </c>
      <c r="F222" s="1">
        <v>3</v>
      </c>
      <c r="G222" s="1">
        <v>0</v>
      </c>
      <c r="H222" s="4">
        <f t="shared" ca="1" si="12"/>
        <v>23400</v>
      </c>
      <c r="I222" s="4">
        <f t="shared" ca="1" si="13"/>
        <v>28080</v>
      </c>
      <c r="J222" s="4">
        <f t="shared" ca="1" si="14"/>
        <v>0</v>
      </c>
      <c r="K222" s="4">
        <f t="shared" ca="1" si="15"/>
        <v>51480</v>
      </c>
    </row>
    <row r="223" spans="1:11" x14ac:dyDescent="0.3">
      <c r="A223" s="1">
        <v>222</v>
      </c>
      <c r="B223" s="1">
        <v>16</v>
      </c>
      <c r="C223" s="1">
        <v>11</v>
      </c>
      <c r="D223" s="2">
        <v>44673</v>
      </c>
      <c r="E223" s="1">
        <v>2</v>
      </c>
      <c r="F223" s="1">
        <v>2</v>
      </c>
      <c r="G223" s="1">
        <v>1</v>
      </c>
      <c r="H223" s="4">
        <f t="shared" ca="1" si="12"/>
        <v>43200</v>
      </c>
      <c r="I223" s="4">
        <f t="shared" ca="1" si="13"/>
        <v>34560</v>
      </c>
      <c r="J223" s="4">
        <f t="shared" ca="1" si="14"/>
        <v>12960</v>
      </c>
      <c r="K223" s="4">
        <f t="shared" ca="1" si="15"/>
        <v>90720</v>
      </c>
    </row>
    <row r="224" spans="1:11" x14ac:dyDescent="0.3">
      <c r="A224" s="1">
        <v>223</v>
      </c>
      <c r="B224" s="1">
        <v>26</v>
      </c>
      <c r="C224" s="1">
        <v>31</v>
      </c>
      <c r="D224" s="2">
        <v>44673</v>
      </c>
      <c r="E224" s="1">
        <v>1</v>
      </c>
      <c r="F224" s="1">
        <v>1</v>
      </c>
      <c r="G224" s="1">
        <v>0</v>
      </c>
      <c r="H224" s="4">
        <f t="shared" ca="1" si="12"/>
        <v>12600</v>
      </c>
      <c r="I224" s="4">
        <f t="shared" ca="1" si="13"/>
        <v>10080</v>
      </c>
      <c r="J224" s="4">
        <f t="shared" ca="1" si="14"/>
        <v>0</v>
      </c>
      <c r="K224" s="4">
        <f t="shared" ca="1" si="15"/>
        <v>22680</v>
      </c>
    </row>
    <row r="225" spans="1:11" x14ac:dyDescent="0.3">
      <c r="A225" s="1">
        <v>224</v>
      </c>
      <c r="B225" s="1">
        <v>24</v>
      </c>
      <c r="C225" s="1">
        <v>50</v>
      </c>
      <c r="D225" s="2">
        <v>44674</v>
      </c>
      <c r="E225" s="1">
        <v>4</v>
      </c>
      <c r="F225" s="1">
        <v>3</v>
      </c>
      <c r="G225" s="1">
        <v>3</v>
      </c>
      <c r="H225" s="4">
        <f t="shared" ca="1" si="12"/>
        <v>136800</v>
      </c>
      <c r="I225" s="4">
        <f t="shared" ca="1" si="13"/>
        <v>82080</v>
      </c>
      <c r="J225" s="4">
        <f t="shared" ca="1" si="14"/>
        <v>61560</v>
      </c>
      <c r="K225" s="4">
        <f t="shared" ca="1" si="15"/>
        <v>280440</v>
      </c>
    </row>
    <row r="226" spans="1:11" x14ac:dyDescent="0.3">
      <c r="A226" s="1">
        <v>225</v>
      </c>
      <c r="B226" s="1">
        <v>27</v>
      </c>
      <c r="C226" s="1">
        <v>2</v>
      </c>
      <c r="D226" s="2">
        <v>44674</v>
      </c>
      <c r="E226" s="1">
        <v>1</v>
      </c>
      <c r="F226" s="1">
        <v>3</v>
      </c>
      <c r="G226" s="1">
        <v>2</v>
      </c>
      <c r="H226" s="4">
        <f t="shared" ca="1" si="12"/>
        <v>26740</v>
      </c>
      <c r="I226" s="4">
        <f t="shared" ca="1" si="13"/>
        <v>64176</v>
      </c>
      <c r="J226" s="4">
        <f t="shared" ca="1" si="14"/>
        <v>32088</v>
      </c>
      <c r="K226" s="4">
        <f t="shared" ca="1" si="15"/>
        <v>123004</v>
      </c>
    </row>
    <row r="227" spans="1:11" x14ac:dyDescent="0.3">
      <c r="A227" s="1">
        <v>226</v>
      </c>
      <c r="B227" s="1">
        <v>4</v>
      </c>
      <c r="C227" s="1">
        <v>24</v>
      </c>
      <c r="D227" s="2">
        <v>44674</v>
      </c>
      <c r="E227" s="1">
        <v>5</v>
      </c>
      <c r="F227" s="1">
        <v>1</v>
      </c>
      <c r="G227" s="1">
        <v>0</v>
      </c>
      <c r="H227" s="4">
        <f t="shared" ca="1" si="12"/>
        <v>112500</v>
      </c>
      <c r="I227" s="4">
        <f t="shared" ca="1" si="13"/>
        <v>18000</v>
      </c>
      <c r="J227" s="4">
        <f t="shared" ca="1" si="14"/>
        <v>0</v>
      </c>
      <c r="K227" s="4">
        <f t="shared" ca="1" si="15"/>
        <v>130500</v>
      </c>
    </row>
    <row r="228" spans="1:11" x14ac:dyDescent="0.3">
      <c r="A228" s="1">
        <v>227</v>
      </c>
      <c r="B228" s="1">
        <v>17</v>
      </c>
      <c r="C228" s="1">
        <v>33</v>
      </c>
      <c r="D228" s="2">
        <v>44674</v>
      </c>
      <c r="E228" s="1">
        <v>0</v>
      </c>
      <c r="F228" s="1">
        <v>2</v>
      </c>
      <c r="G228" s="1">
        <v>0</v>
      </c>
      <c r="H228" s="4">
        <f t="shared" ca="1" si="12"/>
        <v>0</v>
      </c>
      <c r="I228" s="4">
        <f t="shared" ca="1" si="13"/>
        <v>21760</v>
      </c>
      <c r="J228" s="4">
        <f t="shared" ca="1" si="14"/>
        <v>0</v>
      </c>
      <c r="K228" s="4">
        <f t="shared" ca="1" si="15"/>
        <v>21760</v>
      </c>
    </row>
    <row r="229" spans="1:11" x14ac:dyDescent="0.3">
      <c r="A229" s="1">
        <v>228</v>
      </c>
      <c r="B229" s="1">
        <v>20</v>
      </c>
      <c r="C229" s="1">
        <v>16</v>
      </c>
      <c r="D229" s="2">
        <v>44675</v>
      </c>
      <c r="E229" s="1">
        <v>5</v>
      </c>
      <c r="F229" s="1">
        <v>2</v>
      </c>
      <c r="G229" s="1">
        <v>1</v>
      </c>
      <c r="H229" s="4">
        <f t="shared" ca="1" si="12"/>
        <v>156000</v>
      </c>
      <c r="I229" s="4">
        <f t="shared" ca="1" si="13"/>
        <v>49920</v>
      </c>
      <c r="J229" s="4">
        <f t="shared" ca="1" si="14"/>
        <v>18720</v>
      </c>
      <c r="K229" s="4">
        <f t="shared" ca="1" si="15"/>
        <v>224640</v>
      </c>
    </row>
    <row r="230" spans="1:11" x14ac:dyDescent="0.3">
      <c r="A230" s="1">
        <v>229</v>
      </c>
      <c r="B230" s="1">
        <v>5</v>
      </c>
      <c r="C230" s="1">
        <v>15</v>
      </c>
      <c r="D230" s="2">
        <v>44675</v>
      </c>
      <c r="E230" s="1">
        <v>4</v>
      </c>
      <c r="F230" s="1">
        <v>3</v>
      </c>
      <c r="G230" s="1">
        <v>1</v>
      </c>
      <c r="H230" s="4">
        <f t="shared" ca="1" si="12"/>
        <v>75600</v>
      </c>
      <c r="I230" s="4">
        <f t="shared" ca="1" si="13"/>
        <v>45360</v>
      </c>
      <c r="J230" s="4">
        <f t="shared" ca="1" si="14"/>
        <v>11340</v>
      </c>
      <c r="K230" s="4">
        <f t="shared" ca="1" si="15"/>
        <v>132300</v>
      </c>
    </row>
    <row r="231" spans="1:11" x14ac:dyDescent="0.3">
      <c r="A231" s="1">
        <v>230</v>
      </c>
      <c r="B231" s="1">
        <v>16</v>
      </c>
      <c r="C231" s="1">
        <v>52</v>
      </c>
      <c r="D231" s="2">
        <v>44677</v>
      </c>
      <c r="E231" s="1">
        <v>1</v>
      </c>
      <c r="F231" s="1">
        <v>0</v>
      </c>
      <c r="G231" s="1">
        <v>0</v>
      </c>
      <c r="H231" s="4">
        <f t="shared" ca="1" si="12"/>
        <v>16200</v>
      </c>
      <c r="I231" s="4">
        <f t="shared" ca="1" si="13"/>
        <v>0</v>
      </c>
      <c r="J231" s="4">
        <f t="shared" ca="1" si="14"/>
        <v>0</v>
      </c>
      <c r="K231" s="4">
        <f t="shared" ca="1" si="15"/>
        <v>16200</v>
      </c>
    </row>
    <row r="232" spans="1:11" x14ac:dyDescent="0.3">
      <c r="A232" s="1">
        <v>231</v>
      </c>
      <c r="B232" s="1">
        <v>25</v>
      </c>
      <c r="C232" s="1">
        <v>31</v>
      </c>
      <c r="D232" s="2">
        <v>44677</v>
      </c>
      <c r="E232" s="1">
        <v>1</v>
      </c>
      <c r="F232" s="1">
        <v>0</v>
      </c>
      <c r="G232" s="1">
        <v>0</v>
      </c>
      <c r="H232" s="4">
        <f t="shared" ca="1" si="12"/>
        <v>12600</v>
      </c>
      <c r="I232" s="4">
        <f t="shared" ca="1" si="13"/>
        <v>0</v>
      </c>
      <c r="J232" s="4">
        <f t="shared" ca="1" si="14"/>
        <v>0</v>
      </c>
      <c r="K232" s="4">
        <f t="shared" ca="1" si="15"/>
        <v>12600</v>
      </c>
    </row>
    <row r="233" spans="1:11" x14ac:dyDescent="0.3">
      <c r="A233" s="1">
        <v>232</v>
      </c>
      <c r="B233" s="1">
        <v>16</v>
      </c>
      <c r="C233" s="1">
        <v>14</v>
      </c>
      <c r="D233" s="2">
        <v>44677</v>
      </c>
      <c r="E233" s="1">
        <v>4</v>
      </c>
      <c r="F233" s="1">
        <v>0</v>
      </c>
      <c r="G233" s="1">
        <v>3</v>
      </c>
      <c r="H233" s="4">
        <f t="shared" ca="1" si="12"/>
        <v>112000</v>
      </c>
      <c r="I233" s="4">
        <f t="shared" ca="1" si="13"/>
        <v>0</v>
      </c>
      <c r="J233" s="4">
        <f t="shared" ca="1" si="14"/>
        <v>50400</v>
      </c>
      <c r="K233" s="4">
        <f t="shared" ca="1" si="15"/>
        <v>162400</v>
      </c>
    </row>
    <row r="234" spans="1:11" x14ac:dyDescent="0.3">
      <c r="A234" s="1">
        <v>233</v>
      </c>
      <c r="B234" s="1">
        <v>9</v>
      </c>
      <c r="C234" s="1">
        <v>25</v>
      </c>
      <c r="D234" s="2">
        <v>44678</v>
      </c>
      <c r="E234" s="1">
        <v>1</v>
      </c>
      <c r="F234" s="1">
        <v>2</v>
      </c>
      <c r="G234" s="1">
        <v>3</v>
      </c>
      <c r="H234" s="4">
        <f t="shared" ca="1" si="12"/>
        <v>27000</v>
      </c>
      <c r="I234" s="4">
        <f t="shared" ca="1" si="13"/>
        <v>43200</v>
      </c>
      <c r="J234" s="4">
        <f t="shared" ca="1" si="14"/>
        <v>48600</v>
      </c>
      <c r="K234" s="4">
        <f t="shared" ca="1" si="15"/>
        <v>118800</v>
      </c>
    </row>
    <row r="235" spans="1:11" x14ac:dyDescent="0.3">
      <c r="A235" s="1">
        <v>234</v>
      </c>
      <c r="B235" s="1">
        <v>22</v>
      </c>
      <c r="C235" s="1">
        <v>26</v>
      </c>
      <c r="D235" s="2">
        <v>44678</v>
      </c>
      <c r="E235" s="1">
        <v>0</v>
      </c>
      <c r="F235" s="1">
        <v>2</v>
      </c>
      <c r="G235" s="1">
        <v>5</v>
      </c>
      <c r="H235" s="4">
        <f t="shared" ca="1" si="12"/>
        <v>0</v>
      </c>
      <c r="I235" s="4">
        <f t="shared" ca="1" si="13"/>
        <v>36480</v>
      </c>
      <c r="J235" s="4">
        <f t="shared" ca="1" si="14"/>
        <v>68400</v>
      </c>
      <c r="K235" s="4">
        <f t="shared" ca="1" si="15"/>
        <v>104880</v>
      </c>
    </row>
    <row r="236" spans="1:11" x14ac:dyDescent="0.3">
      <c r="A236" s="1">
        <v>235</v>
      </c>
      <c r="B236" s="1">
        <v>10</v>
      </c>
      <c r="C236" s="1">
        <v>27</v>
      </c>
      <c r="D236" s="2">
        <v>44678</v>
      </c>
      <c r="E236" s="1">
        <v>0</v>
      </c>
      <c r="F236" s="1">
        <v>5</v>
      </c>
      <c r="G236" s="1">
        <v>0</v>
      </c>
      <c r="H236" s="4">
        <f t="shared" ca="1" si="12"/>
        <v>0</v>
      </c>
      <c r="I236" s="4">
        <f t="shared" ca="1" si="13"/>
        <v>62400</v>
      </c>
      <c r="J236" s="4">
        <f t="shared" ca="1" si="14"/>
        <v>0</v>
      </c>
      <c r="K236" s="4">
        <f t="shared" ca="1" si="15"/>
        <v>62400</v>
      </c>
    </row>
    <row r="237" spans="1:11" x14ac:dyDescent="0.3">
      <c r="A237" s="1">
        <v>236</v>
      </c>
      <c r="B237" s="1">
        <v>24</v>
      </c>
      <c r="C237" s="1">
        <v>45</v>
      </c>
      <c r="D237" s="2">
        <v>44679</v>
      </c>
      <c r="E237" s="1">
        <v>1</v>
      </c>
      <c r="F237" s="1">
        <v>1</v>
      </c>
      <c r="G237" s="1">
        <v>2</v>
      </c>
      <c r="H237" s="4">
        <f t="shared" ca="1" si="12"/>
        <v>19800</v>
      </c>
      <c r="I237" s="4">
        <f t="shared" ca="1" si="13"/>
        <v>15840</v>
      </c>
      <c r="J237" s="4">
        <f t="shared" ca="1" si="14"/>
        <v>23760</v>
      </c>
      <c r="K237" s="4">
        <f t="shared" ca="1" si="15"/>
        <v>59400</v>
      </c>
    </row>
    <row r="238" spans="1:11" x14ac:dyDescent="0.3">
      <c r="A238" s="1">
        <v>237</v>
      </c>
      <c r="B238" s="1">
        <v>1</v>
      </c>
      <c r="C238" s="1">
        <v>15</v>
      </c>
      <c r="D238" s="2">
        <v>44679</v>
      </c>
      <c r="E238" s="1">
        <v>3</v>
      </c>
      <c r="F238" s="1">
        <v>3</v>
      </c>
      <c r="G238" s="1">
        <v>3</v>
      </c>
      <c r="H238" s="4">
        <f t="shared" ca="1" si="12"/>
        <v>56700</v>
      </c>
      <c r="I238" s="4">
        <f t="shared" ca="1" si="13"/>
        <v>45360</v>
      </c>
      <c r="J238" s="4">
        <f t="shared" ca="1" si="14"/>
        <v>34020</v>
      </c>
      <c r="K238" s="4">
        <f t="shared" ca="1" si="15"/>
        <v>136080</v>
      </c>
    </row>
    <row r="239" spans="1:11" x14ac:dyDescent="0.3">
      <c r="A239" s="1">
        <v>238</v>
      </c>
      <c r="B239" s="1">
        <v>2</v>
      </c>
      <c r="C239" s="1">
        <v>1</v>
      </c>
      <c r="D239" s="2">
        <v>44681</v>
      </c>
      <c r="E239" s="1">
        <v>0</v>
      </c>
      <c r="F239" s="1">
        <v>2</v>
      </c>
      <c r="G239" s="1">
        <v>4</v>
      </c>
      <c r="H239" s="4">
        <f t="shared" ca="1" si="12"/>
        <v>0</v>
      </c>
      <c r="I239" s="4">
        <f t="shared" ca="1" si="13"/>
        <v>29952</v>
      </c>
      <c r="J239" s="4">
        <f t="shared" ca="1" si="14"/>
        <v>44928</v>
      </c>
      <c r="K239" s="4">
        <f t="shared" ca="1" si="15"/>
        <v>74880</v>
      </c>
    </row>
    <row r="240" spans="1:11" x14ac:dyDescent="0.3">
      <c r="A240" s="1">
        <v>239</v>
      </c>
      <c r="B240" s="1">
        <v>22</v>
      </c>
      <c r="C240" s="1">
        <v>30</v>
      </c>
      <c r="D240" s="2">
        <v>44682</v>
      </c>
      <c r="E240" s="1">
        <v>5</v>
      </c>
      <c r="F240" s="1">
        <v>4</v>
      </c>
      <c r="G240" s="1">
        <v>2</v>
      </c>
      <c r="H240" s="4">
        <f t="shared" ca="1" si="12"/>
        <v>84000</v>
      </c>
      <c r="I240" s="4">
        <f t="shared" ca="1" si="13"/>
        <v>53760</v>
      </c>
      <c r="J240" s="4">
        <f t="shared" ca="1" si="14"/>
        <v>20160</v>
      </c>
      <c r="K240" s="4">
        <f t="shared" ca="1" si="15"/>
        <v>157920</v>
      </c>
    </row>
    <row r="241" spans="1:11" x14ac:dyDescent="0.3">
      <c r="A241" s="1">
        <v>240</v>
      </c>
      <c r="B241" s="1">
        <v>12</v>
      </c>
      <c r="C241" s="1">
        <v>42</v>
      </c>
      <c r="D241" s="2">
        <v>44683</v>
      </c>
      <c r="E241" s="1">
        <v>0</v>
      </c>
      <c r="F241" s="1">
        <v>0</v>
      </c>
      <c r="G241" s="1">
        <v>1</v>
      </c>
      <c r="H241" s="4">
        <f t="shared" ca="1" si="12"/>
        <v>0</v>
      </c>
      <c r="I241" s="4">
        <f t="shared" ca="1" si="13"/>
        <v>0</v>
      </c>
      <c r="J241" s="4">
        <f t="shared" ca="1" si="14"/>
        <v>4320</v>
      </c>
      <c r="K241" s="4">
        <f t="shared" ca="1" si="15"/>
        <v>4320</v>
      </c>
    </row>
    <row r="242" spans="1:11" x14ac:dyDescent="0.3">
      <c r="A242" s="1">
        <v>241</v>
      </c>
      <c r="B242" s="1">
        <v>26</v>
      </c>
      <c r="C242" s="1">
        <v>2</v>
      </c>
      <c r="D242" s="2">
        <v>44683</v>
      </c>
      <c r="E242" s="1">
        <v>5</v>
      </c>
      <c r="F242" s="1">
        <v>4</v>
      </c>
      <c r="G242" s="1">
        <v>3</v>
      </c>
      <c r="H242" s="4">
        <f t="shared" ca="1" si="12"/>
        <v>133700</v>
      </c>
      <c r="I242" s="4">
        <f t="shared" ca="1" si="13"/>
        <v>85568</v>
      </c>
      <c r="J242" s="4">
        <f t="shared" ca="1" si="14"/>
        <v>48132</v>
      </c>
      <c r="K242" s="4">
        <f t="shared" ca="1" si="15"/>
        <v>267400</v>
      </c>
    </row>
    <row r="243" spans="1:11" x14ac:dyDescent="0.3">
      <c r="A243" s="1">
        <v>242</v>
      </c>
      <c r="B243" s="1">
        <v>25</v>
      </c>
      <c r="C243" s="1">
        <v>55</v>
      </c>
      <c r="D243" s="2">
        <v>44684</v>
      </c>
      <c r="E243" s="1">
        <v>2</v>
      </c>
      <c r="F243" s="1">
        <v>2</v>
      </c>
      <c r="G243" s="1">
        <v>4</v>
      </c>
      <c r="H243" s="4">
        <f t="shared" ca="1" si="12"/>
        <v>29520</v>
      </c>
      <c r="I243" s="4">
        <f t="shared" ca="1" si="13"/>
        <v>23616</v>
      </c>
      <c r="J243" s="4">
        <f t="shared" ca="1" si="14"/>
        <v>35424</v>
      </c>
      <c r="K243" s="4">
        <f t="shared" ca="1" si="15"/>
        <v>88560</v>
      </c>
    </row>
    <row r="244" spans="1:11" x14ac:dyDescent="0.3">
      <c r="A244" s="1">
        <v>243</v>
      </c>
      <c r="B244" s="1">
        <v>8</v>
      </c>
      <c r="C244" s="1">
        <v>49</v>
      </c>
      <c r="D244" s="2">
        <v>44684</v>
      </c>
      <c r="E244" s="1">
        <v>4</v>
      </c>
      <c r="F244" s="1">
        <v>5</v>
      </c>
      <c r="G244" s="1">
        <v>0</v>
      </c>
      <c r="H244" s="4">
        <f t="shared" ca="1" si="12"/>
        <v>124800</v>
      </c>
      <c r="I244" s="4">
        <f t="shared" ca="1" si="13"/>
        <v>124800</v>
      </c>
      <c r="J244" s="4">
        <f t="shared" ca="1" si="14"/>
        <v>0</v>
      </c>
      <c r="K244" s="4">
        <f t="shared" ca="1" si="15"/>
        <v>249600</v>
      </c>
    </row>
    <row r="245" spans="1:11" x14ac:dyDescent="0.3">
      <c r="A245" s="1">
        <v>244</v>
      </c>
      <c r="B245" s="1">
        <v>16</v>
      </c>
      <c r="C245" s="1">
        <v>34</v>
      </c>
      <c r="D245" s="2">
        <v>44684</v>
      </c>
      <c r="E245" s="1">
        <v>3</v>
      </c>
      <c r="F245" s="1">
        <v>2</v>
      </c>
      <c r="G245" s="1">
        <v>3</v>
      </c>
      <c r="H245" s="4">
        <f t="shared" ca="1" si="12"/>
        <v>80400</v>
      </c>
      <c r="I245" s="4">
        <f t="shared" ca="1" si="13"/>
        <v>42880</v>
      </c>
      <c r="J245" s="4">
        <f t="shared" ca="1" si="14"/>
        <v>48240</v>
      </c>
      <c r="K245" s="4">
        <f t="shared" ca="1" si="15"/>
        <v>171520</v>
      </c>
    </row>
    <row r="246" spans="1:11" x14ac:dyDescent="0.3">
      <c r="A246" s="1">
        <v>245</v>
      </c>
      <c r="B246" s="1">
        <v>6</v>
      </c>
      <c r="C246" s="1">
        <v>14</v>
      </c>
      <c r="D246" s="2">
        <v>44684</v>
      </c>
      <c r="E246" s="1">
        <v>2</v>
      </c>
      <c r="F246" s="1">
        <v>1</v>
      </c>
      <c r="G246" s="1">
        <v>1</v>
      </c>
      <c r="H246" s="4">
        <f t="shared" ca="1" si="12"/>
        <v>56000</v>
      </c>
      <c r="I246" s="4">
        <f t="shared" ca="1" si="13"/>
        <v>22400</v>
      </c>
      <c r="J246" s="4">
        <f t="shared" ca="1" si="14"/>
        <v>16800</v>
      </c>
      <c r="K246" s="4">
        <f t="shared" ca="1" si="15"/>
        <v>95200</v>
      </c>
    </row>
    <row r="247" spans="1:11" x14ac:dyDescent="0.3">
      <c r="A247" s="1">
        <v>246</v>
      </c>
      <c r="B247" s="1">
        <v>8</v>
      </c>
      <c r="C247" s="1">
        <v>46</v>
      </c>
      <c r="D247" s="2">
        <v>44685</v>
      </c>
      <c r="E247" s="1">
        <v>3</v>
      </c>
      <c r="F247" s="1">
        <v>1</v>
      </c>
      <c r="G247" s="1">
        <v>4</v>
      </c>
      <c r="H247" s="4">
        <f t="shared" ca="1" si="12"/>
        <v>68400</v>
      </c>
      <c r="I247" s="4">
        <f t="shared" ca="1" si="13"/>
        <v>18240</v>
      </c>
      <c r="J247" s="4">
        <f t="shared" ca="1" si="14"/>
        <v>54720</v>
      </c>
      <c r="K247" s="4">
        <f t="shared" ca="1" si="15"/>
        <v>141360</v>
      </c>
    </row>
    <row r="248" spans="1:11" x14ac:dyDescent="0.3">
      <c r="A248" s="1">
        <v>247</v>
      </c>
      <c r="B248" s="1">
        <v>14</v>
      </c>
      <c r="C248" s="1">
        <v>15</v>
      </c>
      <c r="D248" s="2">
        <v>44685</v>
      </c>
      <c r="E248" s="1">
        <v>0</v>
      </c>
      <c r="F248" s="1">
        <v>2</v>
      </c>
      <c r="G248" s="1">
        <v>3</v>
      </c>
      <c r="H248" s="4">
        <f t="shared" ca="1" si="12"/>
        <v>0</v>
      </c>
      <c r="I248" s="4">
        <f t="shared" ca="1" si="13"/>
        <v>30240</v>
      </c>
      <c r="J248" s="4">
        <f t="shared" ca="1" si="14"/>
        <v>34020</v>
      </c>
      <c r="K248" s="4">
        <f t="shared" ca="1" si="15"/>
        <v>64260</v>
      </c>
    </row>
    <row r="249" spans="1:11" x14ac:dyDescent="0.3">
      <c r="A249" s="1">
        <v>248</v>
      </c>
      <c r="B249" s="1">
        <v>13</v>
      </c>
      <c r="C249" s="1">
        <v>1</v>
      </c>
      <c r="D249" s="2">
        <v>44685</v>
      </c>
      <c r="E249" s="1">
        <v>0</v>
      </c>
      <c r="F249" s="1">
        <v>2</v>
      </c>
      <c r="G249" s="1">
        <v>1</v>
      </c>
      <c r="H249" s="4">
        <f t="shared" ca="1" si="12"/>
        <v>0</v>
      </c>
      <c r="I249" s="4">
        <f t="shared" ca="1" si="13"/>
        <v>29952</v>
      </c>
      <c r="J249" s="4">
        <f t="shared" ca="1" si="14"/>
        <v>11232</v>
      </c>
      <c r="K249" s="4">
        <f t="shared" ca="1" si="15"/>
        <v>41184</v>
      </c>
    </row>
    <row r="250" spans="1:11" x14ac:dyDescent="0.3">
      <c r="A250" s="1">
        <v>249</v>
      </c>
      <c r="B250" s="1">
        <v>4</v>
      </c>
      <c r="C250" s="1">
        <v>21</v>
      </c>
      <c r="D250" s="2">
        <v>44686</v>
      </c>
      <c r="E250" s="1">
        <v>3</v>
      </c>
      <c r="F250" s="1">
        <v>4</v>
      </c>
      <c r="G250" s="1">
        <v>5</v>
      </c>
      <c r="H250" s="4">
        <f t="shared" ca="1" si="12"/>
        <v>60000</v>
      </c>
      <c r="I250" s="4">
        <f t="shared" ca="1" si="13"/>
        <v>64000</v>
      </c>
      <c r="J250" s="4">
        <f t="shared" ca="1" si="14"/>
        <v>60000</v>
      </c>
      <c r="K250" s="4">
        <f t="shared" ca="1" si="15"/>
        <v>184000</v>
      </c>
    </row>
    <row r="251" spans="1:11" x14ac:dyDescent="0.3">
      <c r="A251" s="1">
        <v>250</v>
      </c>
      <c r="B251" s="1">
        <v>23</v>
      </c>
      <c r="C251" s="1">
        <v>14</v>
      </c>
      <c r="D251" s="2">
        <v>44687</v>
      </c>
      <c r="E251" s="1">
        <v>3</v>
      </c>
      <c r="F251" s="1">
        <v>1</v>
      </c>
      <c r="G251" s="1">
        <v>2</v>
      </c>
      <c r="H251" s="4">
        <f t="shared" ca="1" si="12"/>
        <v>84000</v>
      </c>
      <c r="I251" s="4">
        <f t="shared" ca="1" si="13"/>
        <v>22400</v>
      </c>
      <c r="J251" s="4">
        <f t="shared" ca="1" si="14"/>
        <v>33600</v>
      </c>
      <c r="K251" s="4">
        <f t="shared" ca="1" si="15"/>
        <v>140000</v>
      </c>
    </row>
    <row r="252" spans="1:11" x14ac:dyDescent="0.3">
      <c r="A252" s="1">
        <v>251</v>
      </c>
      <c r="B252" s="1">
        <v>5</v>
      </c>
      <c r="C252" s="1">
        <v>7</v>
      </c>
      <c r="D252" s="2">
        <v>44688</v>
      </c>
      <c r="E252" s="1">
        <v>2</v>
      </c>
      <c r="F252" s="1">
        <v>1</v>
      </c>
      <c r="G252" s="1">
        <v>2</v>
      </c>
      <c r="H252" s="4">
        <f t="shared" ca="1" si="12"/>
        <v>52160</v>
      </c>
      <c r="I252" s="4">
        <f t="shared" ca="1" si="13"/>
        <v>20864</v>
      </c>
      <c r="J252" s="4">
        <f t="shared" ca="1" si="14"/>
        <v>31296</v>
      </c>
      <c r="K252" s="4">
        <f t="shared" ca="1" si="15"/>
        <v>104320</v>
      </c>
    </row>
    <row r="253" spans="1:11" x14ac:dyDescent="0.3">
      <c r="A253" s="1">
        <v>252</v>
      </c>
      <c r="B253" s="1">
        <v>22</v>
      </c>
      <c r="C253" s="1">
        <v>57</v>
      </c>
      <c r="D253" s="2">
        <v>44688</v>
      </c>
      <c r="E253" s="1">
        <v>4</v>
      </c>
      <c r="F253" s="1">
        <v>4</v>
      </c>
      <c r="G253" s="1">
        <v>1</v>
      </c>
      <c r="H253" s="4">
        <f t="shared" ca="1" si="12"/>
        <v>80320</v>
      </c>
      <c r="I253" s="4">
        <f t="shared" ca="1" si="13"/>
        <v>64256</v>
      </c>
      <c r="J253" s="4">
        <f t="shared" ca="1" si="14"/>
        <v>12048</v>
      </c>
      <c r="K253" s="4">
        <f t="shared" ca="1" si="15"/>
        <v>156624</v>
      </c>
    </row>
    <row r="254" spans="1:11" x14ac:dyDescent="0.3">
      <c r="A254" s="1">
        <v>253</v>
      </c>
      <c r="B254" s="1">
        <v>4</v>
      </c>
      <c r="C254" s="1">
        <v>3</v>
      </c>
      <c r="D254" s="2">
        <v>44689</v>
      </c>
      <c r="E254" s="1">
        <v>3</v>
      </c>
      <c r="F254" s="1">
        <v>1</v>
      </c>
      <c r="G254" s="1">
        <v>1</v>
      </c>
      <c r="H254" s="4">
        <f t="shared" ca="1" si="12"/>
        <v>80160</v>
      </c>
      <c r="I254" s="4">
        <f t="shared" ca="1" si="13"/>
        <v>21376</v>
      </c>
      <c r="J254" s="4">
        <f t="shared" ca="1" si="14"/>
        <v>16032</v>
      </c>
      <c r="K254" s="4">
        <f t="shared" ca="1" si="15"/>
        <v>117568</v>
      </c>
    </row>
    <row r="255" spans="1:11" x14ac:dyDescent="0.3">
      <c r="A255" s="1">
        <v>254</v>
      </c>
      <c r="B255" s="1">
        <v>20</v>
      </c>
      <c r="C255" s="1">
        <v>49</v>
      </c>
      <c r="D255" s="2">
        <v>44690</v>
      </c>
      <c r="E255" s="1">
        <v>3</v>
      </c>
      <c r="F255" s="1">
        <v>1</v>
      </c>
      <c r="G255" s="1">
        <v>2</v>
      </c>
      <c r="H255" s="4">
        <f t="shared" ca="1" si="12"/>
        <v>93600</v>
      </c>
      <c r="I255" s="4">
        <f t="shared" ca="1" si="13"/>
        <v>24960</v>
      </c>
      <c r="J255" s="4">
        <f t="shared" ca="1" si="14"/>
        <v>37440</v>
      </c>
      <c r="K255" s="4">
        <f t="shared" ca="1" si="15"/>
        <v>156000</v>
      </c>
    </row>
    <row r="256" spans="1:11" x14ac:dyDescent="0.3">
      <c r="A256" s="1">
        <v>255</v>
      </c>
      <c r="B256" s="1">
        <v>6</v>
      </c>
      <c r="C256" s="1">
        <v>32</v>
      </c>
      <c r="D256" s="2">
        <v>44690</v>
      </c>
      <c r="E256" s="1">
        <v>2</v>
      </c>
      <c r="F256" s="1">
        <v>0</v>
      </c>
      <c r="G256" s="1">
        <v>1</v>
      </c>
      <c r="H256" s="4">
        <f t="shared" ca="1" si="12"/>
        <v>51000</v>
      </c>
      <c r="I256" s="4">
        <f t="shared" ca="1" si="13"/>
        <v>0</v>
      </c>
      <c r="J256" s="4">
        <f t="shared" ca="1" si="14"/>
        <v>15300</v>
      </c>
      <c r="K256" s="4">
        <f t="shared" ca="1" si="15"/>
        <v>66300</v>
      </c>
    </row>
    <row r="257" spans="1:11" x14ac:dyDescent="0.3">
      <c r="A257" s="1">
        <v>256</v>
      </c>
      <c r="B257" s="1">
        <v>17</v>
      </c>
      <c r="C257" s="1">
        <v>34</v>
      </c>
      <c r="D257" s="2">
        <v>44691</v>
      </c>
      <c r="E257" s="1">
        <v>2</v>
      </c>
      <c r="F257" s="1">
        <v>3</v>
      </c>
      <c r="G257" s="1">
        <v>3</v>
      </c>
      <c r="H257" s="4">
        <f t="shared" ca="1" si="12"/>
        <v>53600</v>
      </c>
      <c r="I257" s="4">
        <f t="shared" ca="1" si="13"/>
        <v>64320</v>
      </c>
      <c r="J257" s="4">
        <f t="shared" ca="1" si="14"/>
        <v>48240</v>
      </c>
      <c r="K257" s="4">
        <f t="shared" ca="1" si="15"/>
        <v>166160</v>
      </c>
    </row>
    <row r="258" spans="1:11" x14ac:dyDescent="0.3">
      <c r="A258" s="1">
        <v>257</v>
      </c>
      <c r="B258" s="1">
        <v>21</v>
      </c>
      <c r="C258" s="1">
        <v>5</v>
      </c>
      <c r="D258" s="2">
        <v>44691</v>
      </c>
      <c r="E258" s="1">
        <v>0</v>
      </c>
      <c r="F258" s="1">
        <v>2</v>
      </c>
      <c r="G258" s="1">
        <v>1</v>
      </c>
      <c r="H258" s="4">
        <f t="shared" ref="H258:H290" ca="1" si="16">VLOOKUP(C258,패키지,5,0)*E258</f>
        <v>0</v>
      </c>
      <c r="I258" s="4">
        <f t="shared" ref="I258:I290" ca="1" si="17">VLOOKUP(C258,패키지,5,0)*0.8*F258</f>
        <v>37632</v>
      </c>
      <c r="J258" s="4">
        <f t="shared" ref="J258:J290" ca="1" si="18">VLOOKUP(C258,패키지,5,0)*0.6*G258</f>
        <v>14112</v>
      </c>
      <c r="K258" s="4">
        <f t="shared" ca="1" si="15"/>
        <v>51744</v>
      </c>
    </row>
    <row r="259" spans="1:11" x14ac:dyDescent="0.3">
      <c r="A259" s="1">
        <v>258</v>
      </c>
      <c r="B259" s="1">
        <v>16</v>
      </c>
      <c r="C259" s="1">
        <v>33</v>
      </c>
      <c r="D259" s="2">
        <v>44691</v>
      </c>
      <c r="E259" s="1">
        <v>2</v>
      </c>
      <c r="F259" s="1">
        <v>5</v>
      </c>
      <c r="G259" s="1">
        <v>1</v>
      </c>
      <c r="H259" s="4">
        <f t="shared" ca="1" si="16"/>
        <v>27200</v>
      </c>
      <c r="I259" s="4">
        <f t="shared" ca="1" si="17"/>
        <v>54400</v>
      </c>
      <c r="J259" s="4">
        <f t="shared" ca="1" si="18"/>
        <v>8160</v>
      </c>
      <c r="K259" s="4">
        <f t="shared" ref="K259:K290" ca="1" si="19">SUM(J259,I259,H259)</f>
        <v>89760</v>
      </c>
    </row>
    <row r="260" spans="1:11" x14ac:dyDescent="0.3">
      <c r="A260" s="1">
        <v>259</v>
      </c>
      <c r="B260" s="1">
        <v>8</v>
      </c>
      <c r="C260" s="1">
        <v>21</v>
      </c>
      <c r="D260" s="2">
        <v>44691</v>
      </c>
      <c r="E260" s="1">
        <v>2</v>
      </c>
      <c r="F260" s="1">
        <v>1</v>
      </c>
      <c r="G260" s="1">
        <v>2</v>
      </c>
      <c r="H260" s="4">
        <f t="shared" ca="1" si="16"/>
        <v>40000</v>
      </c>
      <c r="I260" s="4">
        <f t="shared" ca="1" si="17"/>
        <v>16000</v>
      </c>
      <c r="J260" s="4">
        <f t="shared" ca="1" si="18"/>
        <v>24000</v>
      </c>
      <c r="K260" s="4">
        <f t="shared" ca="1" si="19"/>
        <v>80000</v>
      </c>
    </row>
    <row r="261" spans="1:11" x14ac:dyDescent="0.3">
      <c r="A261" s="1">
        <v>260</v>
      </c>
      <c r="B261" s="1">
        <v>8</v>
      </c>
      <c r="C261" s="1">
        <v>17</v>
      </c>
      <c r="D261" s="2">
        <v>44692</v>
      </c>
      <c r="E261" s="1">
        <v>3</v>
      </c>
      <c r="F261" s="1">
        <v>4</v>
      </c>
      <c r="G261" s="1">
        <v>1</v>
      </c>
      <c r="H261" s="4">
        <f t="shared" ca="1" si="16"/>
        <v>75600</v>
      </c>
      <c r="I261" s="4">
        <f t="shared" ca="1" si="17"/>
        <v>80640</v>
      </c>
      <c r="J261" s="4">
        <f t="shared" ca="1" si="18"/>
        <v>15120</v>
      </c>
      <c r="K261" s="4">
        <f t="shared" ca="1" si="19"/>
        <v>171360</v>
      </c>
    </row>
    <row r="262" spans="1:11" x14ac:dyDescent="0.3">
      <c r="A262" s="1">
        <v>261</v>
      </c>
      <c r="B262" s="1">
        <v>17</v>
      </c>
      <c r="C262" s="1">
        <v>31</v>
      </c>
      <c r="D262" s="2">
        <v>44693</v>
      </c>
      <c r="E262" s="1">
        <v>0</v>
      </c>
      <c r="F262" s="1">
        <v>3</v>
      </c>
      <c r="G262" s="1">
        <v>3</v>
      </c>
      <c r="H262" s="4">
        <f t="shared" ca="1" si="16"/>
        <v>0</v>
      </c>
      <c r="I262" s="4">
        <f t="shared" ca="1" si="17"/>
        <v>30240</v>
      </c>
      <c r="J262" s="4">
        <f t="shared" ca="1" si="18"/>
        <v>22680</v>
      </c>
      <c r="K262" s="4">
        <f t="shared" ca="1" si="19"/>
        <v>52920</v>
      </c>
    </row>
    <row r="263" spans="1:11" x14ac:dyDescent="0.3">
      <c r="A263" s="1">
        <v>262</v>
      </c>
      <c r="B263" s="1">
        <v>19</v>
      </c>
      <c r="C263" s="1">
        <v>11</v>
      </c>
      <c r="D263" s="2">
        <v>44693</v>
      </c>
      <c r="E263" s="1">
        <v>1</v>
      </c>
      <c r="F263" s="1">
        <v>2</v>
      </c>
      <c r="G263" s="1">
        <v>2</v>
      </c>
      <c r="H263" s="4">
        <f t="shared" ca="1" si="16"/>
        <v>21600</v>
      </c>
      <c r="I263" s="4">
        <f t="shared" ca="1" si="17"/>
        <v>34560</v>
      </c>
      <c r="J263" s="4">
        <f t="shared" ca="1" si="18"/>
        <v>25920</v>
      </c>
      <c r="K263" s="4">
        <f t="shared" ca="1" si="19"/>
        <v>82080</v>
      </c>
    </row>
    <row r="264" spans="1:11" x14ac:dyDescent="0.3">
      <c r="A264" s="1">
        <v>263</v>
      </c>
      <c r="B264" s="1">
        <v>11</v>
      </c>
      <c r="C264" s="1">
        <v>10</v>
      </c>
      <c r="D264" s="2">
        <v>44693</v>
      </c>
      <c r="E264" s="1">
        <v>0</v>
      </c>
      <c r="F264" s="1">
        <v>1</v>
      </c>
      <c r="G264" s="1">
        <v>4</v>
      </c>
      <c r="H264" s="4">
        <f t="shared" ca="1" si="16"/>
        <v>0</v>
      </c>
      <c r="I264" s="4">
        <f t="shared" ca="1" si="17"/>
        <v>17920</v>
      </c>
      <c r="J264" s="4">
        <f t="shared" ca="1" si="18"/>
        <v>53760</v>
      </c>
      <c r="K264" s="4">
        <f t="shared" ca="1" si="19"/>
        <v>71680</v>
      </c>
    </row>
    <row r="265" spans="1:11" x14ac:dyDescent="0.3">
      <c r="A265" s="1">
        <v>264</v>
      </c>
      <c r="B265" s="1">
        <v>26</v>
      </c>
      <c r="C265" s="1">
        <v>54</v>
      </c>
      <c r="D265" s="2">
        <v>44694</v>
      </c>
      <c r="E265" s="1">
        <v>3</v>
      </c>
      <c r="F265" s="1">
        <v>0</v>
      </c>
      <c r="G265" s="1">
        <v>1</v>
      </c>
      <c r="H265" s="4">
        <f t="shared" ca="1" si="16"/>
        <v>66420</v>
      </c>
      <c r="I265" s="4">
        <f t="shared" ca="1" si="17"/>
        <v>0</v>
      </c>
      <c r="J265" s="4">
        <f t="shared" ca="1" si="18"/>
        <v>13284</v>
      </c>
      <c r="K265" s="4">
        <f t="shared" ca="1" si="19"/>
        <v>79704</v>
      </c>
    </row>
    <row r="266" spans="1:11" x14ac:dyDescent="0.3">
      <c r="A266" s="1">
        <v>265</v>
      </c>
      <c r="B266" s="1">
        <v>27</v>
      </c>
      <c r="C266" s="1">
        <v>17</v>
      </c>
      <c r="D266" s="2">
        <v>44695</v>
      </c>
      <c r="E266" s="1">
        <v>5</v>
      </c>
      <c r="F266" s="1">
        <v>5</v>
      </c>
      <c r="G266" s="1">
        <v>5</v>
      </c>
      <c r="H266" s="4">
        <f t="shared" ca="1" si="16"/>
        <v>126000</v>
      </c>
      <c r="I266" s="4">
        <f t="shared" ca="1" si="17"/>
        <v>100800</v>
      </c>
      <c r="J266" s="4">
        <f t="shared" ca="1" si="18"/>
        <v>75600</v>
      </c>
      <c r="K266" s="4">
        <f t="shared" ca="1" si="19"/>
        <v>302400</v>
      </c>
    </row>
    <row r="267" spans="1:11" x14ac:dyDescent="0.3">
      <c r="A267" s="1">
        <v>266</v>
      </c>
      <c r="B267" s="1">
        <v>20</v>
      </c>
      <c r="C267" s="1">
        <v>35</v>
      </c>
      <c r="D267" s="2">
        <v>44696</v>
      </c>
      <c r="E267" s="1">
        <v>1</v>
      </c>
      <c r="F267" s="1">
        <v>1</v>
      </c>
      <c r="G267" s="1">
        <v>3</v>
      </c>
      <c r="H267" s="4">
        <f t="shared" ca="1" si="16"/>
        <v>27900</v>
      </c>
      <c r="I267" s="4">
        <f t="shared" ca="1" si="17"/>
        <v>22320</v>
      </c>
      <c r="J267" s="4">
        <f t="shared" ca="1" si="18"/>
        <v>50220</v>
      </c>
      <c r="K267" s="4">
        <f t="shared" ca="1" si="19"/>
        <v>100440</v>
      </c>
    </row>
    <row r="268" spans="1:11" x14ac:dyDescent="0.3">
      <c r="A268" s="1">
        <v>267</v>
      </c>
      <c r="B268" s="1">
        <v>14</v>
      </c>
      <c r="C268" s="1">
        <v>52</v>
      </c>
      <c r="D268" s="2">
        <v>44696</v>
      </c>
      <c r="E268" s="1">
        <v>0</v>
      </c>
      <c r="F268" s="1">
        <v>0</v>
      </c>
      <c r="G268" s="1">
        <v>1</v>
      </c>
      <c r="H268" s="4">
        <f t="shared" ca="1" si="16"/>
        <v>0</v>
      </c>
      <c r="I268" s="4">
        <f t="shared" ca="1" si="17"/>
        <v>0</v>
      </c>
      <c r="J268" s="4">
        <f t="shared" ca="1" si="18"/>
        <v>9720</v>
      </c>
      <c r="K268" s="4">
        <f t="shared" ca="1" si="19"/>
        <v>9720</v>
      </c>
    </row>
    <row r="269" spans="1:11" x14ac:dyDescent="0.3">
      <c r="A269" s="1">
        <v>268</v>
      </c>
      <c r="B269" s="1">
        <v>19</v>
      </c>
      <c r="C269" s="1">
        <v>50</v>
      </c>
      <c r="D269" s="2">
        <v>44697</v>
      </c>
      <c r="E269" s="1">
        <v>2</v>
      </c>
      <c r="F269" s="1">
        <v>5</v>
      </c>
      <c r="G269" s="1">
        <v>0</v>
      </c>
      <c r="H269" s="4">
        <f t="shared" ca="1" si="16"/>
        <v>68400</v>
      </c>
      <c r="I269" s="4">
        <f t="shared" ca="1" si="17"/>
        <v>136800</v>
      </c>
      <c r="J269" s="4">
        <f t="shared" ca="1" si="18"/>
        <v>0</v>
      </c>
      <c r="K269" s="4">
        <f t="shared" ca="1" si="19"/>
        <v>205200</v>
      </c>
    </row>
    <row r="270" spans="1:11" x14ac:dyDescent="0.3">
      <c r="A270" s="1">
        <v>269</v>
      </c>
      <c r="B270" s="1">
        <v>25</v>
      </c>
      <c r="C270" s="1">
        <v>8</v>
      </c>
      <c r="D270" s="2">
        <v>44697</v>
      </c>
      <c r="E270" s="1">
        <v>0</v>
      </c>
      <c r="F270" s="1">
        <v>4</v>
      </c>
      <c r="G270" s="1">
        <v>3</v>
      </c>
      <c r="H270" s="4">
        <f t="shared" ca="1" si="16"/>
        <v>0</v>
      </c>
      <c r="I270" s="4">
        <f t="shared" ca="1" si="17"/>
        <v>70144</v>
      </c>
      <c r="J270" s="4">
        <f t="shared" ca="1" si="18"/>
        <v>39456</v>
      </c>
      <c r="K270" s="4">
        <f t="shared" ca="1" si="19"/>
        <v>109600</v>
      </c>
    </row>
    <row r="271" spans="1:11" x14ac:dyDescent="0.3">
      <c r="A271" s="1">
        <v>270</v>
      </c>
      <c r="B271" s="1">
        <v>7</v>
      </c>
      <c r="C271" s="1">
        <v>4</v>
      </c>
      <c r="D271" s="2">
        <v>44700</v>
      </c>
      <c r="E271" s="1">
        <v>3</v>
      </c>
      <c r="F271" s="1">
        <v>0</v>
      </c>
      <c r="G271" s="1">
        <v>2</v>
      </c>
      <c r="H271" s="4">
        <f t="shared" ca="1" si="16"/>
        <v>94860</v>
      </c>
      <c r="I271" s="4">
        <f t="shared" ca="1" si="17"/>
        <v>0</v>
      </c>
      <c r="J271" s="4">
        <f t="shared" ca="1" si="18"/>
        <v>37944</v>
      </c>
      <c r="K271" s="4">
        <f t="shared" ca="1" si="19"/>
        <v>132804</v>
      </c>
    </row>
    <row r="272" spans="1:11" x14ac:dyDescent="0.3">
      <c r="A272" s="1">
        <v>271</v>
      </c>
      <c r="B272" s="1">
        <v>3</v>
      </c>
      <c r="C272" s="1">
        <v>14</v>
      </c>
      <c r="D272" s="2">
        <v>44701</v>
      </c>
      <c r="E272" s="1">
        <v>5</v>
      </c>
      <c r="F272" s="1">
        <v>1</v>
      </c>
      <c r="G272" s="1">
        <v>1</v>
      </c>
      <c r="H272" s="4">
        <f t="shared" ca="1" si="16"/>
        <v>140000</v>
      </c>
      <c r="I272" s="4">
        <f t="shared" ca="1" si="17"/>
        <v>22400</v>
      </c>
      <c r="J272" s="4">
        <f t="shared" ca="1" si="18"/>
        <v>16800</v>
      </c>
      <c r="K272" s="4">
        <f t="shared" ca="1" si="19"/>
        <v>179200</v>
      </c>
    </row>
    <row r="273" spans="1:11" x14ac:dyDescent="0.3">
      <c r="A273" s="1">
        <v>272</v>
      </c>
      <c r="B273" s="1">
        <v>25</v>
      </c>
      <c r="C273" s="1">
        <v>42</v>
      </c>
      <c r="D273" s="2">
        <v>44701</v>
      </c>
      <c r="E273" s="1">
        <v>4</v>
      </c>
      <c r="F273" s="1">
        <v>2</v>
      </c>
      <c r="G273" s="1">
        <v>4</v>
      </c>
      <c r="H273" s="4">
        <f t="shared" ca="1" si="16"/>
        <v>28800</v>
      </c>
      <c r="I273" s="4">
        <f t="shared" ca="1" si="17"/>
        <v>11520</v>
      </c>
      <c r="J273" s="4">
        <f t="shared" ca="1" si="18"/>
        <v>17280</v>
      </c>
      <c r="K273" s="4">
        <f t="shared" ca="1" si="19"/>
        <v>57600</v>
      </c>
    </row>
    <row r="274" spans="1:11" x14ac:dyDescent="0.3">
      <c r="A274" s="1">
        <v>273</v>
      </c>
      <c r="B274" s="1">
        <v>23</v>
      </c>
      <c r="C274" s="1">
        <v>43</v>
      </c>
      <c r="D274" s="2">
        <v>44702</v>
      </c>
      <c r="E274" s="1">
        <v>5</v>
      </c>
      <c r="F274" s="1">
        <v>4</v>
      </c>
      <c r="G274" s="1">
        <v>0</v>
      </c>
      <c r="H274" s="4">
        <f t="shared" ca="1" si="16"/>
        <v>108000</v>
      </c>
      <c r="I274" s="4">
        <f t="shared" ca="1" si="17"/>
        <v>69120</v>
      </c>
      <c r="J274" s="4">
        <f t="shared" ca="1" si="18"/>
        <v>0</v>
      </c>
      <c r="K274" s="4">
        <f t="shared" ca="1" si="19"/>
        <v>177120</v>
      </c>
    </row>
    <row r="275" spans="1:11" x14ac:dyDescent="0.3">
      <c r="A275" s="1">
        <v>274</v>
      </c>
      <c r="B275" s="1">
        <v>1</v>
      </c>
      <c r="C275" s="1">
        <v>38</v>
      </c>
      <c r="D275" s="2">
        <v>44703</v>
      </c>
      <c r="E275" s="1">
        <v>3</v>
      </c>
      <c r="F275" s="1">
        <v>2</v>
      </c>
      <c r="G275" s="1">
        <v>5</v>
      </c>
      <c r="H275" s="4">
        <f t="shared" ca="1" si="16"/>
        <v>21600</v>
      </c>
      <c r="I275" s="4">
        <f t="shared" ca="1" si="17"/>
        <v>11520</v>
      </c>
      <c r="J275" s="4">
        <f t="shared" ca="1" si="18"/>
        <v>21600</v>
      </c>
      <c r="K275" s="4">
        <f t="shared" ca="1" si="19"/>
        <v>54720</v>
      </c>
    </row>
    <row r="276" spans="1:11" x14ac:dyDescent="0.3">
      <c r="A276" s="1">
        <v>275</v>
      </c>
      <c r="B276" s="1">
        <v>13</v>
      </c>
      <c r="C276" s="1">
        <v>15</v>
      </c>
      <c r="D276" s="2">
        <v>44703</v>
      </c>
      <c r="E276" s="1">
        <v>1</v>
      </c>
      <c r="F276" s="1">
        <v>5</v>
      </c>
      <c r="G276" s="1">
        <v>3</v>
      </c>
      <c r="H276" s="4">
        <f t="shared" ca="1" si="16"/>
        <v>18900</v>
      </c>
      <c r="I276" s="4">
        <f t="shared" ca="1" si="17"/>
        <v>75600</v>
      </c>
      <c r="J276" s="4">
        <f t="shared" ca="1" si="18"/>
        <v>34020</v>
      </c>
      <c r="K276" s="4">
        <f t="shared" ca="1" si="19"/>
        <v>128520</v>
      </c>
    </row>
    <row r="277" spans="1:11" x14ac:dyDescent="0.3">
      <c r="A277" s="1">
        <v>276</v>
      </c>
      <c r="B277" s="1">
        <v>8</v>
      </c>
      <c r="C277" s="1">
        <v>3</v>
      </c>
      <c r="D277" s="2">
        <v>44703</v>
      </c>
      <c r="E277" s="1">
        <v>3</v>
      </c>
      <c r="F277" s="1">
        <v>4</v>
      </c>
      <c r="G277" s="1">
        <v>5</v>
      </c>
      <c r="H277" s="4">
        <f t="shared" ca="1" si="16"/>
        <v>80160</v>
      </c>
      <c r="I277" s="4">
        <f t="shared" ca="1" si="17"/>
        <v>85504</v>
      </c>
      <c r="J277" s="4">
        <f t="shared" ca="1" si="18"/>
        <v>80160</v>
      </c>
      <c r="K277" s="4">
        <f t="shared" ca="1" si="19"/>
        <v>245824</v>
      </c>
    </row>
    <row r="278" spans="1:11" x14ac:dyDescent="0.3">
      <c r="A278" s="1">
        <v>277</v>
      </c>
      <c r="B278" s="1">
        <v>22</v>
      </c>
      <c r="C278" s="1">
        <v>48</v>
      </c>
      <c r="D278" s="2">
        <v>44703</v>
      </c>
      <c r="E278" s="1">
        <v>2</v>
      </c>
      <c r="F278" s="1">
        <v>0</v>
      </c>
      <c r="G278" s="1">
        <v>5</v>
      </c>
      <c r="H278" s="4">
        <f t="shared" ca="1" si="16"/>
        <v>36800</v>
      </c>
      <c r="I278" s="4">
        <f t="shared" ca="1" si="17"/>
        <v>0</v>
      </c>
      <c r="J278" s="4">
        <f t="shared" ca="1" si="18"/>
        <v>55200</v>
      </c>
      <c r="K278" s="4">
        <f t="shared" ca="1" si="19"/>
        <v>92000</v>
      </c>
    </row>
    <row r="279" spans="1:11" x14ac:dyDescent="0.3">
      <c r="A279" s="1">
        <v>278</v>
      </c>
      <c r="B279" s="1">
        <v>12</v>
      </c>
      <c r="C279" s="1">
        <v>28</v>
      </c>
      <c r="D279" s="2">
        <v>44704</v>
      </c>
      <c r="E279" s="1">
        <v>4</v>
      </c>
      <c r="F279" s="1">
        <v>2</v>
      </c>
      <c r="G279" s="1">
        <v>1</v>
      </c>
      <c r="H279" s="4">
        <f t="shared" ca="1" si="16"/>
        <v>46800</v>
      </c>
      <c r="I279" s="4">
        <f t="shared" ca="1" si="17"/>
        <v>18720</v>
      </c>
      <c r="J279" s="4">
        <f t="shared" ca="1" si="18"/>
        <v>7020</v>
      </c>
      <c r="K279" s="4">
        <f t="shared" ca="1" si="19"/>
        <v>72540</v>
      </c>
    </row>
    <row r="280" spans="1:11" x14ac:dyDescent="0.3">
      <c r="A280" s="1">
        <v>279</v>
      </c>
      <c r="B280" s="1">
        <v>12</v>
      </c>
      <c r="C280" s="1">
        <v>10</v>
      </c>
      <c r="D280" s="2">
        <v>44705</v>
      </c>
      <c r="E280" s="1">
        <v>2</v>
      </c>
      <c r="F280" s="1">
        <v>3</v>
      </c>
      <c r="G280" s="1">
        <v>5</v>
      </c>
      <c r="H280" s="4">
        <f t="shared" ca="1" si="16"/>
        <v>44800</v>
      </c>
      <c r="I280" s="4">
        <f t="shared" ca="1" si="17"/>
        <v>53760</v>
      </c>
      <c r="J280" s="4">
        <f t="shared" ca="1" si="18"/>
        <v>67200</v>
      </c>
      <c r="K280" s="4">
        <f t="shared" ca="1" si="19"/>
        <v>165760</v>
      </c>
    </row>
    <row r="281" spans="1:11" x14ac:dyDescent="0.3">
      <c r="A281" s="1">
        <v>280</v>
      </c>
      <c r="B281" s="1">
        <v>21</v>
      </c>
      <c r="C281" s="1">
        <v>47</v>
      </c>
      <c r="D281" s="2">
        <v>44705</v>
      </c>
      <c r="E281" s="1">
        <v>2</v>
      </c>
      <c r="F281" s="1">
        <v>4</v>
      </c>
      <c r="G281" s="1">
        <v>4</v>
      </c>
      <c r="H281" s="4">
        <f t="shared" ca="1" si="16"/>
        <v>23400</v>
      </c>
      <c r="I281" s="4">
        <f t="shared" ca="1" si="17"/>
        <v>37440</v>
      </c>
      <c r="J281" s="4">
        <f t="shared" ca="1" si="18"/>
        <v>28080</v>
      </c>
      <c r="K281" s="4">
        <f t="shared" ca="1" si="19"/>
        <v>88920</v>
      </c>
    </row>
    <row r="282" spans="1:11" x14ac:dyDescent="0.3">
      <c r="A282" s="1">
        <v>281</v>
      </c>
      <c r="B282" s="1">
        <v>7</v>
      </c>
      <c r="C282" s="1">
        <v>1</v>
      </c>
      <c r="D282" s="2">
        <v>44705</v>
      </c>
      <c r="E282" s="1">
        <v>5</v>
      </c>
      <c r="F282" s="1">
        <v>5</v>
      </c>
      <c r="G282" s="1">
        <v>1</v>
      </c>
      <c r="H282" s="4">
        <f t="shared" ca="1" si="16"/>
        <v>93600</v>
      </c>
      <c r="I282" s="4">
        <f t="shared" ca="1" si="17"/>
        <v>74880</v>
      </c>
      <c r="J282" s="4">
        <f t="shared" ca="1" si="18"/>
        <v>11232</v>
      </c>
      <c r="K282" s="4">
        <f t="shared" ca="1" si="19"/>
        <v>179712</v>
      </c>
    </row>
    <row r="283" spans="1:11" x14ac:dyDescent="0.3">
      <c r="A283" s="1">
        <v>282</v>
      </c>
      <c r="B283" s="1">
        <v>18</v>
      </c>
      <c r="C283" s="1">
        <v>31</v>
      </c>
      <c r="D283" s="2">
        <v>44705</v>
      </c>
      <c r="E283" s="1">
        <v>4</v>
      </c>
      <c r="F283" s="1">
        <v>3</v>
      </c>
      <c r="G283" s="1">
        <v>5</v>
      </c>
      <c r="H283" s="4">
        <f t="shared" ca="1" si="16"/>
        <v>50400</v>
      </c>
      <c r="I283" s="4">
        <f t="shared" ca="1" si="17"/>
        <v>30240</v>
      </c>
      <c r="J283" s="4">
        <f t="shared" ca="1" si="18"/>
        <v>37800</v>
      </c>
      <c r="K283" s="4">
        <f t="shared" ca="1" si="19"/>
        <v>118440</v>
      </c>
    </row>
    <row r="284" spans="1:11" x14ac:dyDescent="0.3">
      <c r="A284" s="1">
        <v>283</v>
      </c>
      <c r="B284" s="1">
        <v>1</v>
      </c>
      <c r="C284" s="1">
        <v>11</v>
      </c>
      <c r="D284" s="2">
        <v>44705</v>
      </c>
      <c r="E284" s="1">
        <v>5</v>
      </c>
      <c r="F284" s="1">
        <v>3</v>
      </c>
      <c r="G284" s="1">
        <v>2</v>
      </c>
      <c r="H284" s="4">
        <f t="shared" ca="1" si="16"/>
        <v>108000</v>
      </c>
      <c r="I284" s="4">
        <f t="shared" ca="1" si="17"/>
        <v>51840</v>
      </c>
      <c r="J284" s="4">
        <f t="shared" ca="1" si="18"/>
        <v>25920</v>
      </c>
      <c r="K284" s="4">
        <f t="shared" ca="1" si="19"/>
        <v>185760</v>
      </c>
    </row>
    <row r="285" spans="1:11" x14ac:dyDescent="0.3">
      <c r="A285" s="1">
        <v>284</v>
      </c>
      <c r="B285" s="1">
        <v>11</v>
      </c>
      <c r="C285" s="1">
        <v>36</v>
      </c>
      <c r="D285" s="2">
        <v>44706</v>
      </c>
      <c r="E285" s="1">
        <v>1</v>
      </c>
      <c r="F285" s="1">
        <v>1</v>
      </c>
      <c r="G285" s="1">
        <v>5</v>
      </c>
      <c r="H285" s="4">
        <f t="shared" ca="1" si="16"/>
        <v>20250</v>
      </c>
      <c r="I285" s="4">
        <f t="shared" ca="1" si="17"/>
        <v>16200</v>
      </c>
      <c r="J285" s="4">
        <f t="shared" ca="1" si="18"/>
        <v>60750</v>
      </c>
      <c r="K285" s="4">
        <f t="shared" ca="1" si="19"/>
        <v>97200</v>
      </c>
    </row>
    <row r="286" spans="1:11" x14ac:dyDescent="0.3">
      <c r="A286" s="1">
        <v>285</v>
      </c>
      <c r="B286" s="1">
        <v>25</v>
      </c>
      <c r="C286" s="1">
        <v>39</v>
      </c>
      <c r="D286" s="2">
        <v>44706</v>
      </c>
      <c r="E286" s="1">
        <v>2</v>
      </c>
      <c r="F286" s="1">
        <v>2</v>
      </c>
      <c r="G286" s="1">
        <v>4</v>
      </c>
      <c r="H286" s="4">
        <f t="shared" ca="1" si="16"/>
        <v>37800</v>
      </c>
      <c r="I286" s="4">
        <f t="shared" ca="1" si="17"/>
        <v>30240</v>
      </c>
      <c r="J286" s="4">
        <f t="shared" ca="1" si="18"/>
        <v>45360</v>
      </c>
      <c r="K286" s="4">
        <f t="shared" ca="1" si="19"/>
        <v>113400</v>
      </c>
    </row>
    <row r="287" spans="1:11" x14ac:dyDescent="0.3">
      <c r="A287" s="1">
        <v>286</v>
      </c>
      <c r="B287" s="1">
        <v>27</v>
      </c>
      <c r="C287" s="1">
        <v>18</v>
      </c>
      <c r="D287" s="2">
        <v>44708</v>
      </c>
      <c r="E287" s="1">
        <v>3</v>
      </c>
      <c r="F287" s="1">
        <v>3</v>
      </c>
      <c r="G287" s="1">
        <v>2</v>
      </c>
      <c r="H287" s="4">
        <f t="shared" ca="1" si="16"/>
        <v>78300</v>
      </c>
      <c r="I287" s="4">
        <f t="shared" ca="1" si="17"/>
        <v>62640</v>
      </c>
      <c r="J287" s="4">
        <f t="shared" ca="1" si="18"/>
        <v>31320</v>
      </c>
      <c r="K287" s="4">
        <f t="shared" ca="1" si="19"/>
        <v>172260</v>
      </c>
    </row>
    <row r="288" spans="1:11" x14ac:dyDescent="0.3">
      <c r="A288" s="1">
        <v>287</v>
      </c>
      <c r="B288" s="1">
        <v>26</v>
      </c>
      <c r="C288" s="1">
        <v>27</v>
      </c>
      <c r="D288" s="2">
        <v>44708</v>
      </c>
      <c r="E288" s="1">
        <v>1</v>
      </c>
      <c r="F288" s="1">
        <v>3</v>
      </c>
      <c r="G288" s="1">
        <v>1</v>
      </c>
      <c r="H288" s="4">
        <f t="shared" ca="1" si="16"/>
        <v>15600</v>
      </c>
      <c r="I288" s="4">
        <f t="shared" ca="1" si="17"/>
        <v>37440</v>
      </c>
      <c r="J288" s="4">
        <f t="shared" ca="1" si="18"/>
        <v>9360</v>
      </c>
      <c r="K288" s="4">
        <f t="shared" ca="1" si="19"/>
        <v>62400</v>
      </c>
    </row>
    <row r="289" spans="1:11" x14ac:dyDescent="0.3">
      <c r="A289" s="1">
        <v>288</v>
      </c>
      <c r="B289" s="1">
        <v>17</v>
      </c>
      <c r="C289" s="1">
        <v>5</v>
      </c>
      <c r="D289" s="2">
        <v>44709</v>
      </c>
      <c r="E289" s="1">
        <v>3</v>
      </c>
      <c r="F289" s="1">
        <v>4</v>
      </c>
      <c r="G289" s="1">
        <v>0</v>
      </c>
      <c r="H289" s="4">
        <f t="shared" ca="1" si="16"/>
        <v>70560</v>
      </c>
      <c r="I289" s="4">
        <f t="shared" ca="1" si="17"/>
        <v>75264</v>
      </c>
      <c r="J289" s="4">
        <f t="shared" ca="1" si="18"/>
        <v>0</v>
      </c>
      <c r="K289" s="4">
        <f t="shared" ca="1" si="19"/>
        <v>145824</v>
      </c>
    </row>
    <row r="290" spans="1:11" x14ac:dyDescent="0.3">
      <c r="A290" s="1">
        <v>289</v>
      </c>
      <c r="B290" s="1">
        <v>10</v>
      </c>
      <c r="C290" s="1">
        <v>23</v>
      </c>
      <c r="D290" s="2">
        <v>44710</v>
      </c>
      <c r="E290" s="1">
        <v>1</v>
      </c>
      <c r="F290" s="1">
        <v>1</v>
      </c>
      <c r="G290" s="1">
        <v>1</v>
      </c>
      <c r="H290" s="4">
        <f t="shared" ca="1" si="16"/>
        <v>6300</v>
      </c>
      <c r="I290" s="4">
        <f t="shared" ca="1" si="17"/>
        <v>5040</v>
      </c>
      <c r="J290" s="4">
        <f t="shared" ca="1" si="18"/>
        <v>3780</v>
      </c>
      <c r="K290" s="4">
        <f t="shared" ca="1" si="19"/>
        <v>15120</v>
      </c>
    </row>
  </sheetData>
  <phoneticPr fontId="1" type="noConversion"/>
  <conditionalFormatting sqref="A1:K1048576">
    <cfRule type="expression" dxfId="1" priority="1">
      <formula>$A1&lt;&gt;""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11</xdr:col>
                <xdr:colOff>200025</xdr:colOff>
                <xdr:row>0</xdr:row>
                <xdr:rowOff>66675</xdr:rowOff>
              </from>
              <to>
                <xdr:col>13</xdr:col>
                <xdr:colOff>457200</xdr:colOff>
                <xdr:row>2</xdr:row>
                <xdr:rowOff>133350</xdr:rowOff>
              </to>
            </anchor>
          </controlPr>
        </control>
      </mc:Choice>
      <mc:Fallback>
        <control shapeId="5121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filterMode="1"/>
  <dimension ref="A1:E290"/>
  <sheetViews>
    <sheetView showGridLines="0" workbookViewId="0">
      <selection activeCell="H284" sqref="H275:H284"/>
    </sheetView>
  </sheetViews>
  <sheetFormatPr defaultRowHeight="16.5" x14ac:dyDescent="0.3"/>
  <cols>
    <col min="1" max="2" width="9" style="1"/>
    <col min="3" max="3" width="11" style="1" bestFit="1" customWidth="1"/>
    <col min="4" max="4" width="9" style="1"/>
    <col min="5" max="5" width="54" style="1" bestFit="1" customWidth="1"/>
    <col min="6" max="16384" width="9" style="1"/>
  </cols>
  <sheetData>
    <row r="1" spans="1:5" x14ac:dyDescent="0.3">
      <c r="A1" s="8" t="s">
        <v>0</v>
      </c>
      <c r="B1" s="8" t="s">
        <v>429</v>
      </c>
      <c r="C1" s="8" t="s">
        <v>430</v>
      </c>
      <c r="D1" s="8" t="s">
        <v>435</v>
      </c>
      <c r="E1" s="8" t="s">
        <v>436</v>
      </c>
    </row>
    <row r="2" spans="1:5" hidden="1" x14ac:dyDescent="0.3">
      <c r="A2" s="5">
        <v>1</v>
      </c>
      <c r="B2" s="1">
        <v>6</v>
      </c>
      <c r="C2" s="1">
        <v>43</v>
      </c>
      <c r="D2" s="3">
        <v>1.5</v>
      </c>
      <c r="E2" s="1" t="s">
        <v>437</v>
      </c>
    </row>
    <row r="3" spans="1:5" hidden="1" x14ac:dyDescent="0.3">
      <c r="A3" s="5">
        <v>2</v>
      </c>
      <c r="B3" s="1">
        <v>13</v>
      </c>
      <c r="C3" s="1">
        <v>32</v>
      </c>
      <c r="D3" s="3">
        <v>3.5</v>
      </c>
      <c r="E3" s="1" t="s">
        <v>438</v>
      </c>
    </row>
    <row r="4" spans="1:5" hidden="1" x14ac:dyDescent="0.3">
      <c r="A4" s="5">
        <v>3</v>
      </c>
      <c r="B4" s="1">
        <v>10</v>
      </c>
      <c r="C4" s="1">
        <v>12</v>
      </c>
      <c r="D4" s="3">
        <v>4.5</v>
      </c>
      <c r="E4" s="1" t="s">
        <v>439</v>
      </c>
    </row>
    <row r="5" spans="1:5" hidden="1" x14ac:dyDescent="0.3">
      <c r="A5" s="5">
        <v>4</v>
      </c>
      <c r="B5" s="1">
        <v>6</v>
      </c>
      <c r="C5" s="1">
        <v>35</v>
      </c>
      <c r="D5" s="3">
        <v>5</v>
      </c>
      <c r="E5" s="1" t="s">
        <v>440</v>
      </c>
    </row>
    <row r="6" spans="1:5" hidden="1" x14ac:dyDescent="0.3">
      <c r="A6" s="5">
        <v>5</v>
      </c>
      <c r="B6" s="1">
        <v>12</v>
      </c>
      <c r="C6" s="1">
        <v>11</v>
      </c>
      <c r="D6" s="3">
        <v>3.5</v>
      </c>
      <c r="E6" s="1" t="s">
        <v>441</v>
      </c>
    </row>
    <row r="7" spans="1:5" hidden="1" x14ac:dyDescent="0.3">
      <c r="A7" s="5">
        <v>6</v>
      </c>
      <c r="B7" s="1">
        <v>2</v>
      </c>
      <c r="C7" s="1">
        <v>41</v>
      </c>
      <c r="D7" s="3">
        <v>1.5</v>
      </c>
      <c r="E7" s="1" t="s">
        <v>442</v>
      </c>
    </row>
    <row r="8" spans="1:5" hidden="1" x14ac:dyDescent="0.3">
      <c r="A8" s="5">
        <v>7</v>
      </c>
      <c r="B8" s="1">
        <v>25</v>
      </c>
      <c r="C8" s="1">
        <v>53</v>
      </c>
      <c r="D8" s="3">
        <v>1</v>
      </c>
      <c r="E8" s="1" t="s">
        <v>443</v>
      </c>
    </row>
    <row r="9" spans="1:5" hidden="1" x14ac:dyDescent="0.3">
      <c r="A9" s="5">
        <v>8</v>
      </c>
      <c r="B9" s="1">
        <v>1</v>
      </c>
      <c r="C9" s="1">
        <v>23</v>
      </c>
      <c r="D9" s="3">
        <v>5</v>
      </c>
      <c r="E9" s="1" t="s">
        <v>444</v>
      </c>
    </row>
    <row r="10" spans="1:5" hidden="1" x14ac:dyDescent="0.3">
      <c r="A10" s="5">
        <v>9</v>
      </c>
      <c r="B10" s="1">
        <v>9</v>
      </c>
      <c r="C10" s="1">
        <v>30</v>
      </c>
      <c r="D10" s="3">
        <v>4.5</v>
      </c>
      <c r="E10" s="1" t="s">
        <v>445</v>
      </c>
    </row>
    <row r="11" spans="1:5" hidden="1" x14ac:dyDescent="0.3">
      <c r="A11" s="5">
        <v>10</v>
      </c>
      <c r="B11" s="1">
        <v>10</v>
      </c>
      <c r="C11" s="1">
        <v>45</v>
      </c>
      <c r="D11" s="3">
        <v>1</v>
      </c>
      <c r="E11" s="1" t="s">
        <v>446</v>
      </c>
    </row>
    <row r="12" spans="1:5" hidden="1" x14ac:dyDescent="0.3">
      <c r="A12" s="5">
        <v>11</v>
      </c>
      <c r="B12" s="1">
        <v>17</v>
      </c>
      <c r="C12" s="1">
        <v>34</v>
      </c>
      <c r="D12" s="3">
        <v>1.5</v>
      </c>
      <c r="E12" s="1" t="s">
        <v>447</v>
      </c>
    </row>
    <row r="13" spans="1:5" hidden="1" x14ac:dyDescent="0.3">
      <c r="A13" s="5">
        <v>12</v>
      </c>
      <c r="B13" s="1">
        <v>12</v>
      </c>
      <c r="C13" s="1">
        <v>4</v>
      </c>
      <c r="D13" s="3">
        <v>1</v>
      </c>
      <c r="E13" s="1" t="s">
        <v>448</v>
      </c>
    </row>
    <row r="14" spans="1:5" hidden="1" x14ac:dyDescent="0.3">
      <c r="A14" s="5">
        <v>13</v>
      </c>
      <c r="B14" s="1">
        <v>1</v>
      </c>
      <c r="C14" s="1">
        <v>25</v>
      </c>
      <c r="D14" s="3">
        <v>5</v>
      </c>
      <c r="E14" s="1" t="s">
        <v>449</v>
      </c>
    </row>
    <row r="15" spans="1:5" hidden="1" x14ac:dyDescent="0.3">
      <c r="A15" s="5">
        <v>14</v>
      </c>
      <c r="B15" s="1">
        <v>7</v>
      </c>
      <c r="C15" s="1">
        <v>37</v>
      </c>
      <c r="D15" s="3">
        <v>1</v>
      </c>
      <c r="E15" s="1" t="s">
        <v>450</v>
      </c>
    </row>
    <row r="16" spans="1:5" hidden="1" x14ac:dyDescent="0.3">
      <c r="A16" s="5">
        <v>15</v>
      </c>
      <c r="B16" s="1">
        <v>9</v>
      </c>
      <c r="C16" s="1">
        <v>9</v>
      </c>
      <c r="D16" s="3">
        <v>1</v>
      </c>
      <c r="E16" s="1" t="s">
        <v>451</v>
      </c>
    </row>
    <row r="17" spans="1:5" hidden="1" x14ac:dyDescent="0.3">
      <c r="A17" s="5">
        <v>16</v>
      </c>
      <c r="B17" s="1">
        <v>3</v>
      </c>
      <c r="C17" s="1">
        <v>57</v>
      </c>
      <c r="D17" s="3">
        <v>1</v>
      </c>
      <c r="E17" s="1" t="s">
        <v>452</v>
      </c>
    </row>
    <row r="18" spans="1:5" hidden="1" x14ac:dyDescent="0.3">
      <c r="A18" s="5">
        <v>17</v>
      </c>
      <c r="B18" s="1">
        <v>15</v>
      </c>
      <c r="C18" s="1">
        <v>22</v>
      </c>
      <c r="D18" s="3">
        <v>4.5</v>
      </c>
      <c r="E18" s="1" t="s">
        <v>453</v>
      </c>
    </row>
    <row r="19" spans="1:5" hidden="1" x14ac:dyDescent="0.3">
      <c r="A19" s="5">
        <v>18</v>
      </c>
      <c r="B19" s="1">
        <v>22</v>
      </c>
      <c r="C19" s="1">
        <v>9</v>
      </c>
      <c r="D19" s="3">
        <v>4.5</v>
      </c>
      <c r="E19" s="1" t="s">
        <v>454</v>
      </c>
    </row>
    <row r="20" spans="1:5" hidden="1" x14ac:dyDescent="0.3">
      <c r="A20" s="5">
        <v>19</v>
      </c>
      <c r="B20" s="1">
        <v>2</v>
      </c>
      <c r="C20" s="1">
        <v>32</v>
      </c>
      <c r="D20" s="3">
        <v>3.5</v>
      </c>
      <c r="E20" s="1" t="s">
        <v>455</v>
      </c>
    </row>
    <row r="21" spans="1:5" hidden="1" x14ac:dyDescent="0.3">
      <c r="A21" s="5">
        <v>20</v>
      </c>
      <c r="B21" s="1">
        <v>14</v>
      </c>
      <c r="C21" s="1">
        <v>18</v>
      </c>
      <c r="D21" s="3">
        <v>5</v>
      </c>
      <c r="E21" s="1" t="s">
        <v>456</v>
      </c>
    </row>
    <row r="22" spans="1:5" hidden="1" x14ac:dyDescent="0.3">
      <c r="A22" s="5">
        <v>21</v>
      </c>
      <c r="B22" s="1">
        <v>8</v>
      </c>
      <c r="C22" s="1">
        <v>27</v>
      </c>
      <c r="D22" s="3">
        <v>1</v>
      </c>
      <c r="E22" s="1" t="s">
        <v>457</v>
      </c>
    </row>
    <row r="23" spans="1:5" hidden="1" x14ac:dyDescent="0.3">
      <c r="A23" s="5">
        <v>22</v>
      </c>
      <c r="B23" s="1">
        <v>10</v>
      </c>
      <c r="C23" s="1">
        <v>8</v>
      </c>
      <c r="D23" s="3">
        <v>4.5</v>
      </c>
      <c r="E23" s="1" t="s">
        <v>458</v>
      </c>
    </row>
    <row r="24" spans="1:5" hidden="1" x14ac:dyDescent="0.3">
      <c r="A24" s="5">
        <v>23</v>
      </c>
      <c r="B24" s="1">
        <v>21</v>
      </c>
      <c r="C24" s="1">
        <v>42</v>
      </c>
      <c r="D24" s="3">
        <v>4.5</v>
      </c>
      <c r="E24" s="1" t="s">
        <v>459</v>
      </c>
    </row>
    <row r="25" spans="1:5" hidden="1" x14ac:dyDescent="0.3">
      <c r="A25" s="5">
        <v>24</v>
      </c>
      <c r="B25" s="1">
        <v>12</v>
      </c>
      <c r="C25" s="1">
        <v>30</v>
      </c>
      <c r="D25" s="3">
        <v>4.5</v>
      </c>
      <c r="E25" s="1" t="s">
        <v>460</v>
      </c>
    </row>
    <row r="26" spans="1:5" hidden="1" x14ac:dyDescent="0.3">
      <c r="A26" s="5">
        <v>25</v>
      </c>
      <c r="B26" s="1">
        <v>8</v>
      </c>
      <c r="C26" s="1">
        <v>17</v>
      </c>
      <c r="D26" s="3">
        <v>1</v>
      </c>
      <c r="E26" s="1" t="s">
        <v>461</v>
      </c>
    </row>
    <row r="27" spans="1:5" hidden="1" x14ac:dyDescent="0.3">
      <c r="A27" s="5">
        <v>26</v>
      </c>
      <c r="B27" s="1">
        <v>16</v>
      </c>
      <c r="C27" s="1">
        <v>15</v>
      </c>
      <c r="D27" s="3">
        <v>4.5</v>
      </c>
      <c r="E27" s="1" t="s">
        <v>462</v>
      </c>
    </row>
    <row r="28" spans="1:5" hidden="1" x14ac:dyDescent="0.3">
      <c r="A28" s="5">
        <v>27</v>
      </c>
      <c r="B28" s="1">
        <v>19</v>
      </c>
      <c r="C28" s="1">
        <v>16</v>
      </c>
      <c r="D28" s="3">
        <v>3.5</v>
      </c>
      <c r="E28" s="1" t="s">
        <v>463</v>
      </c>
    </row>
    <row r="29" spans="1:5" hidden="1" x14ac:dyDescent="0.3">
      <c r="A29" s="5">
        <v>28</v>
      </c>
      <c r="B29" s="1">
        <v>23</v>
      </c>
      <c r="C29" s="1">
        <v>9</v>
      </c>
      <c r="D29" s="3">
        <v>5</v>
      </c>
      <c r="E29" s="1" t="s">
        <v>464</v>
      </c>
    </row>
    <row r="30" spans="1:5" hidden="1" x14ac:dyDescent="0.3">
      <c r="A30" s="5">
        <v>29</v>
      </c>
      <c r="B30" s="1">
        <v>3</v>
      </c>
      <c r="C30" s="1">
        <v>15</v>
      </c>
      <c r="D30" s="3">
        <v>5</v>
      </c>
      <c r="E30" s="1" t="s">
        <v>465</v>
      </c>
    </row>
    <row r="31" spans="1:5" hidden="1" x14ac:dyDescent="0.3">
      <c r="A31" s="5">
        <v>30</v>
      </c>
      <c r="B31" s="1">
        <v>24</v>
      </c>
      <c r="C31" s="1">
        <v>12</v>
      </c>
      <c r="D31" s="3">
        <v>4.5</v>
      </c>
      <c r="E31" s="1" t="s">
        <v>466</v>
      </c>
    </row>
    <row r="32" spans="1:5" hidden="1" x14ac:dyDescent="0.3">
      <c r="A32" s="5">
        <v>31</v>
      </c>
      <c r="B32" s="1">
        <v>17</v>
      </c>
      <c r="C32" s="1">
        <v>37</v>
      </c>
      <c r="D32" s="3">
        <v>1.5</v>
      </c>
      <c r="E32" s="1" t="s">
        <v>467</v>
      </c>
    </row>
    <row r="33" spans="1:5" hidden="1" x14ac:dyDescent="0.3">
      <c r="A33" s="5">
        <v>32</v>
      </c>
      <c r="B33" s="1">
        <v>10</v>
      </c>
      <c r="C33" s="1">
        <v>7</v>
      </c>
      <c r="D33" s="3">
        <v>5</v>
      </c>
      <c r="E33" s="1" t="s">
        <v>468</v>
      </c>
    </row>
    <row r="34" spans="1:5" hidden="1" x14ac:dyDescent="0.3">
      <c r="A34" s="5">
        <v>33</v>
      </c>
      <c r="B34" s="1">
        <v>25</v>
      </c>
      <c r="C34" s="1">
        <v>42</v>
      </c>
      <c r="D34" s="3">
        <v>5</v>
      </c>
      <c r="E34" s="1" t="s">
        <v>469</v>
      </c>
    </row>
    <row r="35" spans="1:5" hidden="1" x14ac:dyDescent="0.3">
      <c r="A35" s="5">
        <v>34</v>
      </c>
      <c r="B35" s="1">
        <v>6</v>
      </c>
      <c r="C35" s="1">
        <v>19</v>
      </c>
      <c r="D35" s="3">
        <v>1</v>
      </c>
      <c r="E35" s="1" t="s">
        <v>470</v>
      </c>
    </row>
    <row r="36" spans="1:5" hidden="1" x14ac:dyDescent="0.3">
      <c r="A36" s="5">
        <v>35</v>
      </c>
      <c r="B36" s="1">
        <v>3</v>
      </c>
      <c r="C36" s="1">
        <v>56</v>
      </c>
      <c r="D36" s="3">
        <v>2.5</v>
      </c>
      <c r="E36" s="1" t="s">
        <v>471</v>
      </c>
    </row>
    <row r="37" spans="1:5" hidden="1" x14ac:dyDescent="0.3">
      <c r="A37" s="5">
        <v>36</v>
      </c>
      <c r="B37" s="1">
        <v>2</v>
      </c>
      <c r="C37" s="1">
        <v>32</v>
      </c>
      <c r="D37" s="3">
        <v>4.5</v>
      </c>
      <c r="E37" s="1" t="s">
        <v>472</v>
      </c>
    </row>
    <row r="38" spans="1:5" hidden="1" x14ac:dyDescent="0.3">
      <c r="A38" s="5">
        <v>37</v>
      </c>
      <c r="B38" s="1">
        <v>15</v>
      </c>
      <c r="C38" s="1">
        <v>54</v>
      </c>
      <c r="D38" s="3">
        <v>3.5</v>
      </c>
      <c r="E38" s="1" t="s">
        <v>473</v>
      </c>
    </row>
    <row r="39" spans="1:5" hidden="1" x14ac:dyDescent="0.3">
      <c r="A39" s="5">
        <v>38</v>
      </c>
      <c r="B39" s="1">
        <v>17</v>
      </c>
      <c r="C39" s="1">
        <v>46</v>
      </c>
      <c r="D39" s="3">
        <v>4.5</v>
      </c>
      <c r="E39" s="1" t="s">
        <v>474</v>
      </c>
    </row>
    <row r="40" spans="1:5" hidden="1" x14ac:dyDescent="0.3">
      <c r="A40" s="5">
        <v>39</v>
      </c>
      <c r="B40" s="1">
        <v>13</v>
      </c>
      <c r="C40" s="1">
        <v>34</v>
      </c>
      <c r="D40" s="3">
        <v>1.5</v>
      </c>
      <c r="E40" s="1" t="s">
        <v>475</v>
      </c>
    </row>
    <row r="41" spans="1:5" hidden="1" x14ac:dyDescent="0.3">
      <c r="A41" s="5">
        <v>40</v>
      </c>
      <c r="B41" s="1">
        <v>2</v>
      </c>
      <c r="C41" s="1">
        <v>37</v>
      </c>
      <c r="D41" s="3">
        <v>1.5</v>
      </c>
      <c r="E41" s="1" t="s">
        <v>476</v>
      </c>
    </row>
    <row r="42" spans="1:5" hidden="1" x14ac:dyDescent="0.3">
      <c r="A42" s="5">
        <v>41</v>
      </c>
      <c r="B42" s="1">
        <v>1</v>
      </c>
      <c r="C42" s="1">
        <v>8</v>
      </c>
      <c r="D42" s="3">
        <v>2.5</v>
      </c>
      <c r="E42" s="1" t="s">
        <v>477</v>
      </c>
    </row>
    <row r="43" spans="1:5" hidden="1" x14ac:dyDescent="0.3">
      <c r="A43" s="5">
        <v>42</v>
      </c>
      <c r="B43" s="1">
        <v>5</v>
      </c>
      <c r="C43" s="1">
        <v>43</v>
      </c>
      <c r="D43" s="3">
        <v>1.5</v>
      </c>
      <c r="E43" s="1" t="s">
        <v>478</v>
      </c>
    </row>
    <row r="44" spans="1:5" hidden="1" x14ac:dyDescent="0.3">
      <c r="A44" s="5">
        <v>43</v>
      </c>
      <c r="B44" s="1">
        <v>9</v>
      </c>
      <c r="C44" s="1">
        <v>6</v>
      </c>
      <c r="D44" s="3">
        <v>5</v>
      </c>
      <c r="E44" s="1" t="s">
        <v>479</v>
      </c>
    </row>
    <row r="45" spans="1:5" hidden="1" x14ac:dyDescent="0.3">
      <c r="A45" s="5">
        <v>44</v>
      </c>
      <c r="B45" s="1">
        <v>27</v>
      </c>
      <c r="C45" s="1">
        <v>36</v>
      </c>
      <c r="D45" s="3">
        <v>1</v>
      </c>
      <c r="E45" s="1" t="s">
        <v>480</v>
      </c>
    </row>
    <row r="46" spans="1:5" hidden="1" x14ac:dyDescent="0.3">
      <c r="A46" s="5">
        <v>45</v>
      </c>
      <c r="B46" s="1">
        <v>13</v>
      </c>
      <c r="C46" s="1">
        <v>34</v>
      </c>
      <c r="D46" s="3">
        <v>1</v>
      </c>
      <c r="E46" s="1" t="s">
        <v>481</v>
      </c>
    </row>
    <row r="47" spans="1:5" hidden="1" x14ac:dyDescent="0.3">
      <c r="A47" s="5">
        <v>46</v>
      </c>
      <c r="B47" s="1">
        <v>20</v>
      </c>
      <c r="C47" s="1">
        <v>51</v>
      </c>
      <c r="D47" s="3">
        <v>1</v>
      </c>
      <c r="E47" s="1" t="s">
        <v>482</v>
      </c>
    </row>
    <row r="48" spans="1:5" hidden="1" x14ac:dyDescent="0.3">
      <c r="A48" s="5">
        <v>47</v>
      </c>
      <c r="B48" s="1">
        <v>25</v>
      </c>
      <c r="C48" s="1">
        <v>3</v>
      </c>
      <c r="D48" s="3">
        <v>5</v>
      </c>
      <c r="E48" s="1" t="s">
        <v>483</v>
      </c>
    </row>
    <row r="49" spans="1:5" hidden="1" x14ac:dyDescent="0.3">
      <c r="A49" s="5">
        <v>48</v>
      </c>
      <c r="B49" s="1">
        <v>4</v>
      </c>
      <c r="C49" s="1">
        <v>54</v>
      </c>
      <c r="D49" s="3">
        <v>1.5</v>
      </c>
      <c r="E49" s="1" t="s">
        <v>484</v>
      </c>
    </row>
    <row r="50" spans="1:5" hidden="1" x14ac:dyDescent="0.3">
      <c r="A50" s="5">
        <v>49</v>
      </c>
      <c r="B50" s="1">
        <v>15</v>
      </c>
      <c r="C50" s="1">
        <v>46</v>
      </c>
      <c r="D50" s="3">
        <v>5</v>
      </c>
      <c r="E50" s="1" t="s">
        <v>485</v>
      </c>
    </row>
    <row r="51" spans="1:5" hidden="1" x14ac:dyDescent="0.3">
      <c r="A51" s="5">
        <v>50</v>
      </c>
      <c r="B51" s="1">
        <v>24</v>
      </c>
      <c r="C51" s="1">
        <v>13</v>
      </c>
      <c r="D51" s="3">
        <v>3.5</v>
      </c>
      <c r="E51" s="1" t="s">
        <v>486</v>
      </c>
    </row>
    <row r="52" spans="1:5" hidden="1" x14ac:dyDescent="0.3">
      <c r="A52" s="5">
        <v>51</v>
      </c>
      <c r="B52" s="1">
        <v>20</v>
      </c>
      <c r="C52" s="1">
        <v>30</v>
      </c>
      <c r="D52" s="3">
        <v>4.5</v>
      </c>
      <c r="E52" s="1" t="s">
        <v>487</v>
      </c>
    </row>
    <row r="53" spans="1:5" hidden="1" x14ac:dyDescent="0.3">
      <c r="A53" s="5">
        <v>52</v>
      </c>
      <c r="B53" s="1">
        <v>19</v>
      </c>
      <c r="C53" s="1">
        <v>21</v>
      </c>
      <c r="D53" s="3">
        <v>4.5</v>
      </c>
      <c r="E53" s="1" t="s">
        <v>488</v>
      </c>
    </row>
    <row r="54" spans="1:5" hidden="1" x14ac:dyDescent="0.3">
      <c r="A54" s="5">
        <v>53</v>
      </c>
      <c r="B54" s="1">
        <v>27</v>
      </c>
      <c r="C54" s="1">
        <v>7</v>
      </c>
      <c r="D54" s="3">
        <v>1</v>
      </c>
      <c r="E54" s="1" t="s">
        <v>489</v>
      </c>
    </row>
    <row r="55" spans="1:5" hidden="1" x14ac:dyDescent="0.3">
      <c r="A55" s="5">
        <v>54</v>
      </c>
      <c r="B55" s="1">
        <v>15</v>
      </c>
      <c r="C55" s="1">
        <v>46</v>
      </c>
      <c r="D55" s="3">
        <v>5</v>
      </c>
      <c r="E55" s="1" t="s">
        <v>490</v>
      </c>
    </row>
    <row r="56" spans="1:5" hidden="1" x14ac:dyDescent="0.3">
      <c r="A56" s="5">
        <v>55</v>
      </c>
      <c r="B56" s="1">
        <v>17</v>
      </c>
      <c r="C56" s="1">
        <v>56</v>
      </c>
      <c r="D56" s="3">
        <v>4.5</v>
      </c>
      <c r="E56" s="1" t="s">
        <v>491</v>
      </c>
    </row>
    <row r="57" spans="1:5" hidden="1" x14ac:dyDescent="0.3">
      <c r="A57" s="5">
        <v>56</v>
      </c>
      <c r="B57" s="1">
        <v>11</v>
      </c>
      <c r="C57" s="1">
        <v>21</v>
      </c>
      <c r="D57" s="3">
        <v>4.5</v>
      </c>
      <c r="E57" s="1" t="s">
        <v>492</v>
      </c>
    </row>
    <row r="58" spans="1:5" hidden="1" x14ac:dyDescent="0.3">
      <c r="A58" s="5">
        <v>57</v>
      </c>
      <c r="B58" s="1">
        <v>23</v>
      </c>
      <c r="C58" s="1">
        <v>22</v>
      </c>
      <c r="D58" s="3">
        <v>2.5</v>
      </c>
      <c r="E58" s="1" t="s">
        <v>493</v>
      </c>
    </row>
    <row r="59" spans="1:5" hidden="1" x14ac:dyDescent="0.3">
      <c r="A59" s="5">
        <v>58</v>
      </c>
      <c r="B59" s="1">
        <v>15</v>
      </c>
      <c r="C59" s="1">
        <v>21</v>
      </c>
      <c r="D59" s="3">
        <v>3.5</v>
      </c>
      <c r="E59" s="1" t="s">
        <v>494</v>
      </c>
    </row>
    <row r="60" spans="1:5" hidden="1" x14ac:dyDescent="0.3">
      <c r="A60" s="5">
        <v>59</v>
      </c>
      <c r="B60" s="1">
        <v>18</v>
      </c>
      <c r="C60" s="1">
        <v>49</v>
      </c>
      <c r="D60" s="3">
        <v>2.5</v>
      </c>
      <c r="E60" s="1" t="s">
        <v>495</v>
      </c>
    </row>
    <row r="61" spans="1:5" hidden="1" x14ac:dyDescent="0.3">
      <c r="A61" s="5">
        <v>60</v>
      </c>
      <c r="B61" s="1">
        <v>21</v>
      </c>
      <c r="C61" s="1">
        <v>1</v>
      </c>
      <c r="D61" s="3">
        <v>1.5</v>
      </c>
      <c r="E61" s="1" t="s">
        <v>496</v>
      </c>
    </row>
    <row r="62" spans="1:5" hidden="1" x14ac:dyDescent="0.3">
      <c r="A62" s="5">
        <v>61</v>
      </c>
      <c r="B62" s="1">
        <v>6</v>
      </c>
      <c r="C62" s="1">
        <v>56</v>
      </c>
      <c r="D62" s="3">
        <v>5</v>
      </c>
      <c r="E62" s="1" t="s">
        <v>497</v>
      </c>
    </row>
    <row r="63" spans="1:5" hidden="1" x14ac:dyDescent="0.3">
      <c r="A63" s="5">
        <v>62</v>
      </c>
      <c r="B63" s="1">
        <v>17</v>
      </c>
      <c r="C63" s="1">
        <v>33</v>
      </c>
      <c r="D63" s="3">
        <v>1.5</v>
      </c>
      <c r="E63" s="1" t="s">
        <v>498</v>
      </c>
    </row>
    <row r="64" spans="1:5" hidden="1" x14ac:dyDescent="0.3">
      <c r="A64" s="5">
        <v>63</v>
      </c>
      <c r="B64" s="1">
        <v>14</v>
      </c>
      <c r="C64" s="1">
        <v>48</v>
      </c>
      <c r="D64" s="3">
        <v>1</v>
      </c>
      <c r="E64" s="1" t="s">
        <v>499</v>
      </c>
    </row>
    <row r="65" spans="1:5" hidden="1" x14ac:dyDescent="0.3">
      <c r="A65" s="5">
        <v>64</v>
      </c>
      <c r="B65" s="1">
        <v>13</v>
      </c>
      <c r="C65" s="1">
        <v>3</v>
      </c>
      <c r="D65" s="3">
        <v>2.5</v>
      </c>
      <c r="E65" s="1" t="s">
        <v>500</v>
      </c>
    </row>
    <row r="66" spans="1:5" hidden="1" x14ac:dyDescent="0.3">
      <c r="A66" s="5">
        <v>65</v>
      </c>
      <c r="B66" s="1">
        <v>9</v>
      </c>
      <c r="C66" s="1">
        <v>22</v>
      </c>
      <c r="D66" s="3">
        <v>4.5</v>
      </c>
      <c r="E66" s="1" t="s">
        <v>501</v>
      </c>
    </row>
    <row r="67" spans="1:5" hidden="1" x14ac:dyDescent="0.3">
      <c r="A67" s="5">
        <v>66</v>
      </c>
      <c r="B67" s="1">
        <v>5</v>
      </c>
      <c r="C67" s="1">
        <v>46</v>
      </c>
      <c r="D67" s="3">
        <v>5</v>
      </c>
      <c r="E67" s="1" t="s">
        <v>502</v>
      </c>
    </row>
    <row r="68" spans="1:5" hidden="1" x14ac:dyDescent="0.3">
      <c r="A68" s="5">
        <v>67</v>
      </c>
      <c r="B68" s="1">
        <v>5</v>
      </c>
      <c r="C68" s="1">
        <v>34</v>
      </c>
      <c r="D68" s="3">
        <v>5</v>
      </c>
      <c r="E68" s="1" t="s">
        <v>503</v>
      </c>
    </row>
    <row r="69" spans="1:5" hidden="1" x14ac:dyDescent="0.3">
      <c r="A69" s="5">
        <v>68</v>
      </c>
      <c r="B69" s="1">
        <v>6</v>
      </c>
      <c r="C69" s="1">
        <v>39</v>
      </c>
      <c r="D69" s="3">
        <v>1.5</v>
      </c>
      <c r="E69" s="1" t="s">
        <v>504</v>
      </c>
    </row>
    <row r="70" spans="1:5" hidden="1" x14ac:dyDescent="0.3">
      <c r="A70" s="5">
        <v>69</v>
      </c>
      <c r="B70" s="1">
        <v>20</v>
      </c>
      <c r="C70" s="1">
        <v>21</v>
      </c>
      <c r="D70" s="3">
        <v>1</v>
      </c>
      <c r="E70" s="1" t="s">
        <v>505</v>
      </c>
    </row>
    <row r="71" spans="1:5" hidden="1" x14ac:dyDescent="0.3">
      <c r="A71" s="5">
        <v>70</v>
      </c>
      <c r="B71" s="1">
        <v>10</v>
      </c>
      <c r="C71" s="1">
        <v>19</v>
      </c>
      <c r="D71" s="3">
        <v>2.5</v>
      </c>
      <c r="E71" s="1" t="s">
        <v>506</v>
      </c>
    </row>
    <row r="72" spans="1:5" hidden="1" x14ac:dyDescent="0.3">
      <c r="A72" s="5">
        <v>71</v>
      </c>
      <c r="B72" s="1">
        <v>15</v>
      </c>
      <c r="C72" s="1">
        <v>29</v>
      </c>
      <c r="D72" s="3">
        <v>1</v>
      </c>
      <c r="E72" s="1" t="s">
        <v>507</v>
      </c>
    </row>
    <row r="73" spans="1:5" hidden="1" x14ac:dyDescent="0.3">
      <c r="A73" s="5">
        <v>72</v>
      </c>
      <c r="B73" s="1">
        <v>16</v>
      </c>
      <c r="C73" s="1">
        <v>36</v>
      </c>
      <c r="D73" s="3">
        <v>4.5</v>
      </c>
      <c r="E73" s="1" t="s">
        <v>508</v>
      </c>
    </row>
    <row r="74" spans="1:5" hidden="1" x14ac:dyDescent="0.3">
      <c r="A74" s="5">
        <v>73</v>
      </c>
      <c r="B74" s="1">
        <v>8</v>
      </c>
      <c r="C74" s="1">
        <v>40</v>
      </c>
      <c r="D74" s="3">
        <v>1.5</v>
      </c>
      <c r="E74" s="1" t="s">
        <v>509</v>
      </c>
    </row>
    <row r="75" spans="1:5" hidden="1" x14ac:dyDescent="0.3">
      <c r="A75" s="5">
        <v>74</v>
      </c>
      <c r="B75" s="1">
        <v>20</v>
      </c>
      <c r="C75" s="1">
        <v>30</v>
      </c>
      <c r="D75" s="3">
        <v>1</v>
      </c>
      <c r="E75" s="1" t="s">
        <v>510</v>
      </c>
    </row>
    <row r="76" spans="1:5" hidden="1" x14ac:dyDescent="0.3">
      <c r="A76" s="5">
        <v>75</v>
      </c>
      <c r="B76" s="1">
        <v>3</v>
      </c>
      <c r="C76" s="1">
        <v>14</v>
      </c>
      <c r="D76" s="3">
        <v>1</v>
      </c>
      <c r="E76" s="1" t="s">
        <v>511</v>
      </c>
    </row>
    <row r="77" spans="1:5" hidden="1" x14ac:dyDescent="0.3">
      <c r="A77" s="5">
        <v>76</v>
      </c>
      <c r="B77" s="1">
        <v>1</v>
      </c>
      <c r="C77" s="1">
        <v>54</v>
      </c>
      <c r="D77" s="3">
        <v>1</v>
      </c>
      <c r="E77" s="1" t="s">
        <v>512</v>
      </c>
    </row>
    <row r="78" spans="1:5" hidden="1" x14ac:dyDescent="0.3">
      <c r="A78" s="5">
        <v>77</v>
      </c>
      <c r="B78" s="1">
        <v>12</v>
      </c>
      <c r="C78" s="1">
        <v>50</v>
      </c>
      <c r="D78" s="3">
        <v>1.5</v>
      </c>
      <c r="E78" s="1" t="s">
        <v>513</v>
      </c>
    </row>
    <row r="79" spans="1:5" hidden="1" x14ac:dyDescent="0.3">
      <c r="A79" s="5">
        <v>78</v>
      </c>
      <c r="B79" s="1">
        <v>19</v>
      </c>
      <c r="C79" s="1">
        <v>18</v>
      </c>
      <c r="D79" s="3">
        <v>3.5</v>
      </c>
      <c r="E79" s="1" t="s">
        <v>514</v>
      </c>
    </row>
    <row r="80" spans="1:5" hidden="1" x14ac:dyDescent="0.3">
      <c r="A80" s="5">
        <v>79</v>
      </c>
      <c r="B80" s="1">
        <v>16</v>
      </c>
      <c r="C80" s="1">
        <v>40</v>
      </c>
      <c r="D80" s="3">
        <v>5</v>
      </c>
      <c r="E80" s="1" t="s">
        <v>515</v>
      </c>
    </row>
    <row r="81" spans="1:5" hidden="1" x14ac:dyDescent="0.3">
      <c r="A81" s="5">
        <v>80</v>
      </c>
      <c r="B81" s="1">
        <v>2</v>
      </c>
      <c r="C81" s="1">
        <v>43</v>
      </c>
      <c r="D81" s="3">
        <v>5</v>
      </c>
      <c r="E81" s="1" t="s">
        <v>516</v>
      </c>
    </row>
    <row r="82" spans="1:5" hidden="1" x14ac:dyDescent="0.3">
      <c r="A82" s="5">
        <v>81</v>
      </c>
      <c r="B82" s="1">
        <v>10</v>
      </c>
      <c r="C82" s="1">
        <v>42</v>
      </c>
      <c r="D82" s="3">
        <v>1</v>
      </c>
      <c r="E82" s="1" t="s">
        <v>517</v>
      </c>
    </row>
    <row r="83" spans="1:5" hidden="1" x14ac:dyDescent="0.3">
      <c r="A83" s="5">
        <v>82</v>
      </c>
      <c r="B83" s="1">
        <v>25</v>
      </c>
      <c r="C83" s="1">
        <v>23</v>
      </c>
      <c r="D83" s="3">
        <v>2.5</v>
      </c>
      <c r="E83" s="1" t="s">
        <v>518</v>
      </c>
    </row>
    <row r="84" spans="1:5" hidden="1" x14ac:dyDescent="0.3">
      <c r="A84" s="5">
        <v>83</v>
      </c>
      <c r="B84" s="1">
        <v>10</v>
      </c>
      <c r="C84" s="1">
        <v>45</v>
      </c>
      <c r="D84" s="3">
        <v>2.5</v>
      </c>
      <c r="E84" s="1" t="s">
        <v>519</v>
      </c>
    </row>
    <row r="85" spans="1:5" hidden="1" x14ac:dyDescent="0.3">
      <c r="A85" s="5">
        <v>84</v>
      </c>
      <c r="B85" s="1">
        <v>7</v>
      </c>
      <c r="C85" s="1">
        <v>57</v>
      </c>
      <c r="D85" s="3">
        <v>5</v>
      </c>
      <c r="E85" s="1" t="s">
        <v>520</v>
      </c>
    </row>
    <row r="86" spans="1:5" hidden="1" x14ac:dyDescent="0.3">
      <c r="A86" s="5">
        <v>85</v>
      </c>
      <c r="B86" s="1">
        <v>26</v>
      </c>
      <c r="C86" s="1">
        <v>15</v>
      </c>
      <c r="D86" s="3">
        <v>5</v>
      </c>
      <c r="E86" s="1" t="s">
        <v>521</v>
      </c>
    </row>
    <row r="87" spans="1:5" hidden="1" x14ac:dyDescent="0.3">
      <c r="A87" s="5">
        <v>86</v>
      </c>
      <c r="B87" s="1">
        <v>10</v>
      </c>
      <c r="C87" s="1">
        <v>16</v>
      </c>
      <c r="D87" s="3">
        <v>1.5</v>
      </c>
      <c r="E87" s="1" t="s">
        <v>522</v>
      </c>
    </row>
    <row r="88" spans="1:5" hidden="1" x14ac:dyDescent="0.3">
      <c r="A88" s="5">
        <v>87</v>
      </c>
      <c r="B88" s="1">
        <v>11</v>
      </c>
      <c r="C88" s="1">
        <v>21</v>
      </c>
      <c r="D88" s="3">
        <v>5</v>
      </c>
      <c r="E88" s="1" t="s">
        <v>523</v>
      </c>
    </row>
    <row r="89" spans="1:5" hidden="1" x14ac:dyDescent="0.3">
      <c r="A89" s="5">
        <v>88</v>
      </c>
      <c r="B89" s="1">
        <v>22</v>
      </c>
      <c r="C89" s="1">
        <v>13</v>
      </c>
      <c r="D89" s="3">
        <v>1.5</v>
      </c>
      <c r="E89" s="1" t="s">
        <v>524</v>
      </c>
    </row>
    <row r="90" spans="1:5" hidden="1" x14ac:dyDescent="0.3">
      <c r="A90" s="5">
        <v>89</v>
      </c>
      <c r="B90" s="1">
        <v>2</v>
      </c>
      <c r="C90" s="1">
        <v>46</v>
      </c>
      <c r="D90" s="3">
        <v>3.5</v>
      </c>
      <c r="E90" s="1" t="s">
        <v>525</v>
      </c>
    </row>
    <row r="91" spans="1:5" hidden="1" x14ac:dyDescent="0.3">
      <c r="A91" s="5">
        <v>90</v>
      </c>
      <c r="B91" s="1">
        <v>4</v>
      </c>
      <c r="C91" s="1">
        <v>32</v>
      </c>
      <c r="D91" s="3">
        <v>5</v>
      </c>
      <c r="E91" s="1" t="s">
        <v>526</v>
      </c>
    </row>
    <row r="92" spans="1:5" hidden="1" x14ac:dyDescent="0.3">
      <c r="A92" s="5">
        <v>91</v>
      </c>
      <c r="B92" s="1">
        <v>13</v>
      </c>
      <c r="C92" s="1">
        <v>38</v>
      </c>
      <c r="D92" s="3">
        <v>5</v>
      </c>
      <c r="E92" s="1" t="s">
        <v>527</v>
      </c>
    </row>
    <row r="93" spans="1:5" hidden="1" x14ac:dyDescent="0.3">
      <c r="A93" s="5">
        <v>92</v>
      </c>
      <c r="B93" s="1">
        <v>13</v>
      </c>
      <c r="C93" s="1">
        <v>49</v>
      </c>
      <c r="D93" s="3">
        <v>3.5</v>
      </c>
      <c r="E93" s="1" t="s">
        <v>528</v>
      </c>
    </row>
    <row r="94" spans="1:5" hidden="1" x14ac:dyDescent="0.3">
      <c r="A94" s="5">
        <v>93</v>
      </c>
      <c r="B94" s="1">
        <v>24</v>
      </c>
      <c r="C94" s="1">
        <v>36</v>
      </c>
      <c r="D94" s="3">
        <v>1.5</v>
      </c>
      <c r="E94" s="1" t="s">
        <v>529</v>
      </c>
    </row>
    <row r="95" spans="1:5" hidden="1" x14ac:dyDescent="0.3">
      <c r="A95" s="5">
        <v>94</v>
      </c>
      <c r="B95" s="1">
        <v>25</v>
      </c>
      <c r="C95" s="1">
        <v>19</v>
      </c>
      <c r="D95" s="3">
        <v>5</v>
      </c>
      <c r="E95" s="1" t="s">
        <v>530</v>
      </c>
    </row>
    <row r="96" spans="1:5" hidden="1" x14ac:dyDescent="0.3">
      <c r="A96" s="5">
        <v>95</v>
      </c>
      <c r="B96" s="1">
        <v>4</v>
      </c>
      <c r="C96" s="1">
        <v>22</v>
      </c>
      <c r="D96" s="3">
        <v>5</v>
      </c>
      <c r="E96" s="1" t="s">
        <v>531</v>
      </c>
    </row>
    <row r="97" spans="1:5" hidden="1" x14ac:dyDescent="0.3">
      <c r="A97" s="5">
        <v>96</v>
      </c>
      <c r="B97" s="1">
        <v>13</v>
      </c>
      <c r="C97" s="1">
        <v>29</v>
      </c>
      <c r="D97" s="3">
        <v>4.5</v>
      </c>
      <c r="E97" s="1" t="s">
        <v>532</v>
      </c>
    </row>
    <row r="98" spans="1:5" hidden="1" x14ac:dyDescent="0.3">
      <c r="A98" s="5">
        <v>97</v>
      </c>
      <c r="B98" s="1">
        <v>3</v>
      </c>
      <c r="C98" s="1">
        <v>10</v>
      </c>
      <c r="D98" s="3">
        <v>4.5</v>
      </c>
      <c r="E98" s="1" t="s">
        <v>533</v>
      </c>
    </row>
    <row r="99" spans="1:5" hidden="1" x14ac:dyDescent="0.3">
      <c r="A99" s="5">
        <v>98</v>
      </c>
      <c r="B99" s="1">
        <v>9</v>
      </c>
      <c r="C99" s="1">
        <v>47</v>
      </c>
      <c r="D99" s="3">
        <v>4.5</v>
      </c>
      <c r="E99" s="1" t="s">
        <v>534</v>
      </c>
    </row>
    <row r="100" spans="1:5" hidden="1" x14ac:dyDescent="0.3">
      <c r="A100" s="5">
        <v>99</v>
      </c>
      <c r="B100" s="1">
        <v>12</v>
      </c>
      <c r="C100" s="1">
        <v>55</v>
      </c>
      <c r="D100" s="3">
        <v>5</v>
      </c>
      <c r="E100" s="1" t="s">
        <v>535</v>
      </c>
    </row>
    <row r="101" spans="1:5" hidden="1" x14ac:dyDescent="0.3">
      <c r="A101" s="5">
        <v>100</v>
      </c>
      <c r="B101" s="1">
        <v>10</v>
      </c>
      <c r="C101" s="1">
        <v>21</v>
      </c>
      <c r="D101" s="3">
        <v>3.5</v>
      </c>
      <c r="E101" s="1" t="s">
        <v>536</v>
      </c>
    </row>
    <row r="102" spans="1:5" hidden="1" x14ac:dyDescent="0.3">
      <c r="A102" s="5">
        <v>101</v>
      </c>
      <c r="B102" s="1">
        <v>1</v>
      </c>
      <c r="C102" s="1">
        <v>48</v>
      </c>
      <c r="D102" s="3">
        <v>1.5</v>
      </c>
      <c r="E102" s="1" t="s">
        <v>537</v>
      </c>
    </row>
    <row r="103" spans="1:5" hidden="1" x14ac:dyDescent="0.3">
      <c r="A103" s="5">
        <v>102</v>
      </c>
      <c r="B103" s="1">
        <v>10</v>
      </c>
      <c r="C103" s="1">
        <v>52</v>
      </c>
      <c r="D103" s="3">
        <v>1.5</v>
      </c>
      <c r="E103" s="1" t="s">
        <v>538</v>
      </c>
    </row>
    <row r="104" spans="1:5" hidden="1" x14ac:dyDescent="0.3">
      <c r="A104" s="5">
        <v>103</v>
      </c>
      <c r="B104" s="1">
        <v>22</v>
      </c>
      <c r="C104" s="1">
        <v>41</v>
      </c>
      <c r="D104" s="3">
        <v>2.5</v>
      </c>
      <c r="E104" s="1" t="s">
        <v>539</v>
      </c>
    </row>
    <row r="105" spans="1:5" hidden="1" x14ac:dyDescent="0.3">
      <c r="A105" s="5">
        <v>104</v>
      </c>
      <c r="B105" s="1">
        <v>21</v>
      </c>
      <c r="C105" s="1">
        <v>4</v>
      </c>
      <c r="D105" s="3">
        <v>1.5</v>
      </c>
      <c r="E105" s="1" t="s">
        <v>540</v>
      </c>
    </row>
    <row r="106" spans="1:5" hidden="1" x14ac:dyDescent="0.3">
      <c r="A106" s="5">
        <v>105</v>
      </c>
      <c r="B106" s="1">
        <v>10</v>
      </c>
      <c r="C106" s="1">
        <v>50</v>
      </c>
      <c r="D106" s="3">
        <v>1.5</v>
      </c>
      <c r="E106" s="1" t="s">
        <v>541</v>
      </c>
    </row>
    <row r="107" spans="1:5" hidden="1" x14ac:dyDescent="0.3">
      <c r="A107" s="5">
        <v>106</v>
      </c>
      <c r="B107" s="1">
        <v>24</v>
      </c>
      <c r="C107" s="1">
        <v>51</v>
      </c>
      <c r="D107" s="3">
        <v>2.5</v>
      </c>
      <c r="E107" s="1" t="s">
        <v>542</v>
      </c>
    </row>
    <row r="108" spans="1:5" hidden="1" x14ac:dyDescent="0.3">
      <c r="A108" s="5">
        <v>107</v>
      </c>
      <c r="B108" s="1">
        <v>19</v>
      </c>
      <c r="C108" s="1">
        <v>13</v>
      </c>
      <c r="D108" s="3">
        <v>5</v>
      </c>
      <c r="E108" s="1" t="s">
        <v>543</v>
      </c>
    </row>
    <row r="109" spans="1:5" hidden="1" x14ac:dyDescent="0.3">
      <c r="A109" s="5">
        <v>108</v>
      </c>
      <c r="B109" s="1">
        <v>10</v>
      </c>
      <c r="C109" s="1">
        <v>11</v>
      </c>
      <c r="D109" s="3">
        <v>1</v>
      </c>
      <c r="E109" s="1" t="s">
        <v>544</v>
      </c>
    </row>
    <row r="110" spans="1:5" hidden="1" x14ac:dyDescent="0.3">
      <c r="A110" s="5">
        <v>109</v>
      </c>
      <c r="B110" s="1">
        <v>6</v>
      </c>
      <c r="C110" s="1">
        <v>19</v>
      </c>
      <c r="D110" s="3">
        <v>5</v>
      </c>
      <c r="E110" s="1" t="s">
        <v>545</v>
      </c>
    </row>
    <row r="111" spans="1:5" hidden="1" x14ac:dyDescent="0.3">
      <c r="A111" s="5">
        <v>110</v>
      </c>
      <c r="B111" s="1">
        <v>25</v>
      </c>
      <c r="C111" s="1">
        <v>56</v>
      </c>
      <c r="D111" s="3">
        <v>5</v>
      </c>
      <c r="E111" s="1" t="s">
        <v>546</v>
      </c>
    </row>
    <row r="112" spans="1:5" hidden="1" x14ac:dyDescent="0.3">
      <c r="A112" s="5">
        <v>111</v>
      </c>
      <c r="B112" s="1">
        <v>6</v>
      </c>
      <c r="C112" s="1">
        <v>56</v>
      </c>
      <c r="D112" s="3">
        <v>5</v>
      </c>
      <c r="E112" s="1" t="s">
        <v>547</v>
      </c>
    </row>
    <row r="113" spans="1:5" hidden="1" x14ac:dyDescent="0.3">
      <c r="A113" s="5">
        <v>112</v>
      </c>
      <c r="B113" s="1">
        <v>18</v>
      </c>
      <c r="C113" s="1">
        <v>8</v>
      </c>
      <c r="D113" s="3">
        <v>1.5</v>
      </c>
      <c r="E113" s="1" t="s">
        <v>548</v>
      </c>
    </row>
    <row r="114" spans="1:5" hidden="1" x14ac:dyDescent="0.3">
      <c r="A114" s="5">
        <v>113</v>
      </c>
      <c r="B114" s="1">
        <v>2</v>
      </c>
      <c r="C114" s="1">
        <v>31</v>
      </c>
      <c r="D114" s="3">
        <v>1</v>
      </c>
      <c r="E114" s="1" t="s">
        <v>549</v>
      </c>
    </row>
    <row r="115" spans="1:5" hidden="1" x14ac:dyDescent="0.3">
      <c r="A115" s="5">
        <v>114</v>
      </c>
      <c r="B115" s="1">
        <v>17</v>
      </c>
      <c r="C115" s="1">
        <v>28</v>
      </c>
      <c r="D115" s="3">
        <v>4.5</v>
      </c>
      <c r="E115" s="1" t="s">
        <v>550</v>
      </c>
    </row>
    <row r="116" spans="1:5" hidden="1" x14ac:dyDescent="0.3">
      <c r="A116" s="5">
        <v>115</v>
      </c>
      <c r="B116" s="1">
        <v>21</v>
      </c>
      <c r="C116" s="1">
        <v>28</v>
      </c>
      <c r="D116" s="3">
        <v>3.5</v>
      </c>
      <c r="E116" s="1" t="s">
        <v>551</v>
      </c>
    </row>
    <row r="117" spans="1:5" hidden="1" x14ac:dyDescent="0.3">
      <c r="A117" s="5">
        <v>116</v>
      </c>
      <c r="B117" s="1">
        <v>5</v>
      </c>
      <c r="C117" s="1">
        <v>53</v>
      </c>
      <c r="D117" s="3">
        <v>4.5</v>
      </c>
      <c r="E117" s="1" t="s">
        <v>552</v>
      </c>
    </row>
    <row r="118" spans="1:5" hidden="1" x14ac:dyDescent="0.3">
      <c r="A118" s="5">
        <v>117</v>
      </c>
      <c r="B118" s="1">
        <v>9</v>
      </c>
      <c r="C118" s="1">
        <v>51</v>
      </c>
      <c r="D118" s="3">
        <v>5</v>
      </c>
      <c r="E118" s="1" t="s">
        <v>553</v>
      </c>
    </row>
    <row r="119" spans="1:5" hidden="1" x14ac:dyDescent="0.3">
      <c r="A119" s="5">
        <v>118</v>
      </c>
      <c r="B119" s="1">
        <v>4</v>
      </c>
      <c r="C119" s="1">
        <v>5</v>
      </c>
      <c r="D119" s="3">
        <v>1</v>
      </c>
      <c r="E119" s="1" t="s">
        <v>554</v>
      </c>
    </row>
    <row r="120" spans="1:5" hidden="1" x14ac:dyDescent="0.3">
      <c r="A120" s="5">
        <v>119</v>
      </c>
      <c r="B120" s="1">
        <v>17</v>
      </c>
      <c r="C120" s="1">
        <v>50</v>
      </c>
      <c r="D120" s="3">
        <v>4.5</v>
      </c>
      <c r="E120" s="1" t="s">
        <v>555</v>
      </c>
    </row>
    <row r="121" spans="1:5" hidden="1" x14ac:dyDescent="0.3">
      <c r="A121" s="5">
        <v>120</v>
      </c>
      <c r="B121" s="1">
        <v>5</v>
      </c>
      <c r="C121" s="1">
        <v>50</v>
      </c>
      <c r="D121" s="3">
        <v>5</v>
      </c>
      <c r="E121" s="1" t="s">
        <v>556</v>
      </c>
    </row>
    <row r="122" spans="1:5" hidden="1" x14ac:dyDescent="0.3">
      <c r="A122" s="5">
        <v>121</v>
      </c>
      <c r="B122" s="1">
        <v>9</v>
      </c>
      <c r="C122" s="1">
        <v>48</v>
      </c>
      <c r="D122" s="3">
        <v>1</v>
      </c>
      <c r="E122" s="1" t="s">
        <v>557</v>
      </c>
    </row>
    <row r="123" spans="1:5" hidden="1" x14ac:dyDescent="0.3">
      <c r="A123" s="5">
        <v>122</v>
      </c>
      <c r="B123" s="1">
        <v>23</v>
      </c>
      <c r="C123" s="1">
        <v>31</v>
      </c>
      <c r="D123" s="3">
        <v>2.5</v>
      </c>
      <c r="E123" s="1" t="s">
        <v>558</v>
      </c>
    </row>
    <row r="124" spans="1:5" hidden="1" x14ac:dyDescent="0.3">
      <c r="A124" s="5">
        <v>123</v>
      </c>
      <c r="B124" s="1">
        <v>14</v>
      </c>
      <c r="C124" s="1">
        <v>43</v>
      </c>
      <c r="D124" s="3">
        <v>1.5</v>
      </c>
      <c r="E124" s="1" t="s">
        <v>559</v>
      </c>
    </row>
    <row r="125" spans="1:5" hidden="1" x14ac:dyDescent="0.3">
      <c r="A125" s="5">
        <v>124</v>
      </c>
      <c r="B125" s="1">
        <v>6</v>
      </c>
      <c r="C125" s="1">
        <v>1</v>
      </c>
      <c r="D125" s="3">
        <v>1</v>
      </c>
      <c r="E125" s="1" t="s">
        <v>560</v>
      </c>
    </row>
    <row r="126" spans="1:5" hidden="1" x14ac:dyDescent="0.3">
      <c r="A126" s="5">
        <v>125</v>
      </c>
      <c r="B126" s="1">
        <v>14</v>
      </c>
      <c r="C126" s="1">
        <v>5</v>
      </c>
      <c r="D126" s="3">
        <v>2.5</v>
      </c>
      <c r="E126" s="1" t="s">
        <v>561</v>
      </c>
    </row>
    <row r="127" spans="1:5" hidden="1" x14ac:dyDescent="0.3">
      <c r="A127" s="5">
        <v>126</v>
      </c>
      <c r="B127" s="1">
        <v>18</v>
      </c>
      <c r="C127" s="1">
        <v>28</v>
      </c>
      <c r="D127" s="3">
        <v>1</v>
      </c>
      <c r="E127" s="1" t="s">
        <v>562</v>
      </c>
    </row>
    <row r="128" spans="1:5" hidden="1" x14ac:dyDescent="0.3">
      <c r="A128" s="5">
        <v>127</v>
      </c>
      <c r="B128" s="1">
        <v>6</v>
      </c>
      <c r="C128" s="1">
        <v>54</v>
      </c>
      <c r="D128" s="3">
        <v>1.5</v>
      </c>
      <c r="E128" s="1" t="s">
        <v>563</v>
      </c>
    </row>
    <row r="129" spans="1:5" hidden="1" x14ac:dyDescent="0.3">
      <c r="A129" s="5">
        <v>128</v>
      </c>
      <c r="B129" s="1">
        <v>12</v>
      </c>
      <c r="C129" s="1">
        <v>12</v>
      </c>
      <c r="D129" s="3">
        <v>5</v>
      </c>
      <c r="E129" s="1" t="s">
        <v>564</v>
      </c>
    </row>
    <row r="130" spans="1:5" hidden="1" x14ac:dyDescent="0.3">
      <c r="A130" s="5">
        <v>129</v>
      </c>
      <c r="B130" s="1">
        <v>14</v>
      </c>
      <c r="C130" s="1">
        <v>8</v>
      </c>
      <c r="D130" s="3">
        <v>1</v>
      </c>
      <c r="E130" s="1" t="s">
        <v>565</v>
      </c>
    </row>
    <row r="131" spans="1:5" hidden="1" x14ac:dyDescent="0.3">
      <c r="A131" s="5">
        <v>130</v>
      </c>
      <c r="B131" s="1">
        <v>25</v>
      </c>
      <c r="C131" s="1">
        <v>19</v>
      </c>
      <c r="D131" s="3">
        <v>1</v>
      </c>
      <c r="E131" s="1" t="s">
        <v>566</v>
      </c>
    </row>
    <row r="132" spans="1:5" hidden="1" x14ac:dyDescent="0.3">
      <c r="A132" s="5">
        <v>131</v>
      </c>
      <c r="B132" s="1">
        <v>11</v>
      </c>
      <c r="C132" s="1">
        <v>53</v>
      </c>
      <c r="D132" s="3">
        <v>2.5</v>
      </c>
      <c r="E132" s="1" t="s">
        <v>567</v>
      </c>
    </row>
    <row r="133" spans="1:5" hidden="1" x14ac:dyDescent="0.3">
      <c r="A133" s="5">
        <v>132</v>
      </c>
      <c r="B133" s="1">
        <v>3</v>
      </c>
      <c r="C133" s="1">
        <v>17</v>
      </c>
      <c r="D133" s="3">
        <v>4.5</v>
      </c>
      <c r="E133" s="1" t="s">
        <v>568</v>
      </c>
    </row>
    <row r="134" spans="1:5" hidden="1" x14ac:dyDescent="0.3">
      <c r="A134" s="5">
        <v>133</v>
      </c>
      <c r="B134" s="1">
        <v>7</v>
      </c>
      <c r="C134" s="1">
        <v>19</v>
      </c>
      <c r="D134" s="3">
        <v>3.5</v>
      </c>
      <c r="E134" s="1" t="s">
        <v>569</v>
      </c>
    </row>
    <row r="135" spans="1:5" hidden="1" x14ac:dyDescent="0.3">
      <c r="A135" s="5">
        <v>134</v>
      </c>
      <c r="B135" s="1">
        <v>7</v>
      </c>
      <c r="C135" s="1">
        <v>48</v>
      </c>
      <c r="D135" s="3">
        <v>1.5</v>
      </c>
      <c r="E135" s="1" t="s">
        <v>570</v>
      </c>
    </row>
    <row r="136" spans="1:5" hidden="1" x14ac:dyDescent="0.3">
      <c r="A136" s="5">
        <v>135</v>
      </c>
      <c r="B136" s="1">
        <v>26</v>
      </c>
      <c r="C136" s="1">
        <v>51</v>
      </c>
      <c r="D136" s="3">
        <v>2.5</v>
      </c>
      <c r="E136" s="1" t="s">
        <v>571</v>
      </c>
    </row>
    <row r="137" spans="1:5" hidden="1" x14ac:dyDescent="0.3">
      <c r="A137" s="5">
        <v>136</v>
      </c>
      <c r="B137" s="1">
        <v>5</v>
      </c>
      <c r="C137" s="1">
        <v>31</v>
      </c>
      <c r="D137" s="3">
        <v>1</v>
      </c>
      <c r="E137" s="1" t="s">
        <v>572</v>
      </c>
    </row>
    <row r="138" spans="1:5" hidden="1" x14ac:dyDescent="0.3">
      <c r="A138" s="5">
        <v>137</v>
      </c>
      <c r="B138" s="1">
        <v>14</v>
      </c>
      <c r="C138" s="1">
        <v>7</v>
      </c>
      <c r="D138" s="3">
        <v>1</v>
      </c>
      <c r="E138" s="1" t="s">
        <v>573</v>
      </c>
    </row>
    <row r="139" spans="1:5" hidden="1" x14ac:dyDescent="0.3">
      <c r="A139" s="5">
        <v>138</v>
      </c>
      <c r="B139" s="1">
        <v>2</v>
      </c>
      <c r="C139" s="1">
        <v>6</v>
      </c>
      <c r="D139" s="3">
        <v>5</v>
      </c>
      <c r="E139" s="1" t="s">
        <v>574</v>
      </c>
    </row>
    <row r="140" spans="1:5" hidden="1" x14ac:dyDescent="0.3">
      <c r="A140" s="5">
        <v>139</v>
      </c>
      <c r="B140" s="1">
        <v>19</v>
      </c>
      <c r="C140" s="1">
        <v>50</v>
      </c>
      <c r="D140" s="3">
        <v>1.5</v>
      </c>
      <c r="E140" s="1" t="s">
        <v>575</v>
      </c>
    </row>
    <row r="141" spans="1:5" hidden="1" x14ac:dyDescent="0.3">
      <c r="A141" s="5">
        <v>140</v>
      </c>
      <c r="B141" s="1">
        <v>22</v>
      </c>
      <c r="C141" s="1">
        <v>34</v>
      </c>
      <c r="D141" s="3">
        <v>5</v>
      </c>
      <c r="E141" s="1" t="s">
        <v>576</v>
      </c>
    </row>
    <row r="142" spans="1:5" hidden="1" x14ac:dyDescent="0.3">
      <c r="A142" s="5">
        <v>141</v>
      </c>
      <c r="B142" s="1">
        <v>6</v>
      </c>
      <c r="C142" s="1">
        <v>40</v>
      </c>
      <c r="D142" s="3">
        <v>2.5</v>
      </c>
      <c r="E142" s="1" t="s">
        <v>577</v>
      </c>
    </row>
    <row r="143" spans="1:5" hidden="1" x14ac:dyDescent="0.3">
      <c r="A143" s="5">
        <v>142</v>
      </c>
      <c r="B143" s="1">
        <v>2</v>
      </c>
      <c r="C143" s="1">
        <v>57</v>
      </c>
      <c r="D143" s="3">
        <v>5</v>
      </c>
      <c r="E143" s="1" t="s">
        <v>578</v>
      </c>
    </row>
    <row r="144" spans="1:5" hidden="1" x14ac:dyDescent="0.3">
      <c r="A144" s="5">
        <v>143</v>
      </c>
      <c r="B144" s="1">
        <v>24</v>
      </c>
      <c r="C144" s="1">
        <v>33</v>
      </c>
      <c r="D144" s="3">
        <v>5</v>
      </c>
      <c r="E144" s="1" t="s">
        <v>579</v>
      </c>
    </row>
    <row r="145" spans="1:5" hidden="1" x14ac:dyDescent="0.3">
      <c r="A145" s="5">
        <v>144</v>
      </c>
      <c r="B145" s="1">
        <v>5</v>
      </c>
      <c r="C145" s="1">
        <v>50</v>
      </c>
      <c r="D145" s="3">
        <v>4.5</v>
      </c>
      <c r="E145" s="1" t="s">
        <v>580</v>
      </c>
    </row>
    <row r="146" spans="1:5" hidden="1" x14ac:dyDescent="0.3">
      <c r="A146" s="5">
        <v>145</v>
      </c>
      <c r="B146" s="1">
        <v>24</v>
      </c>
      <c r="C146" s="1">
        <v>38</v>
      </c>
      <c r="D146" s="3">
        <v>5</v>
      </c>
      <c r="E146" s="1" t="s">
        <v>581</v>
      </c>
    </row>
    <row r="147" spans="1:5" hidden="1" x14ac:dyDescent="0.3">
      <c r="A147" s="5">
        <v>146</v>
      </c>
      <c r="B147" s="1">
        <v>21</v>
      </c>
      <c r="C147" s="1">
        <v>13</v>
      </c>
      <c r="D147" s="3">
        <v>2.5</v>
      </c>
      <c r="E147" s="1" t="s">
        <v>582</v>
      </c>
    </row>
    <row r="148" spans="1:5" hidden="1" x14ac:dyDescent="0.3">
      <c r="A148" s="5">
        <v>147</v>
      </c>
      <c r="B148" s="1">
        <v>27</v>
      </c>
      <c r="C148" s="1">
        <v>21</v>
      </c>
      <c r="D148" s="3">
        <v>5</v>
      </c>
      <c r="E148" s="1" t="s">
        <v>583</v>
      </c>
    </row>
    <row r="149" spans="1:5" hidden="1" x14ac:dyDescent="0.3">
      <c r="A149" s="5">
        <v>148</v>
      </c>
      <c r="B149" s="1">
        <v>16</v>
      </c>
      <c r="C149" s="1">
        <v>41</v>
      </c>
      <c r="D149" s="3">
        <v>2.5</v>
      </c>
      <c r="E149" s="1" t="s">
        <v>584</v>
      </c>
    </row>
    <row r="150" spans="1:5" hidden="1" x14ac:dyDescent="0.3">
      <c r="A150" s="5">
        <v>149</v>
      </c>
      <c r="B150" s="1">
        <v>1</v>
      </c>
      <c r="C150" s="1">
        <v>36</v>
      </c>
      <c r="D150" s="3">
        <v>3.5</v>
      </c>
      <c r="E150" s="1" t="s">
        <v>585</v>
      </c>
    </row>
    <row r="151" spans="1:5" hidden="1" x14ac:dyDescent="0.3">
      <c r="A151" s="5">
        <v>150</v>
      </c>
      <c r="B151" s="1">
        <v>14</v>
      </c>
      <c r="C151" s="1">
        <v>25</v>
      </c>
      <c r="D151" s="3">
        <v>5</v>
      </c>
      <c r="E151" s="1" t="s">
        <v>586</v>
      </c>
    </row>
    <row r="152" spans="1:5" hidden="1" x14ac:dyDescent="0.3">
      <c r="A152" s="5">
        <v>151</v>
      </c>
      <c r="B152" s="1">
        <v>18</v>
      </c>
      <c r="C152" s="1">
        <v>40</v>
      </c>
      <c r="D152" s="3">
        <v>4.5</v>
      </c>
      <c r="E152" s="1" t="s">
        <v>587</v>
      </c>
    </row>
    <row r="153" spans="1:5" hidden="1" x14ac:dyDescent="0.3">
      <c r="A153" s="5">
        <v>152</v>
      </c>
      <c r="B153" s="1">
        <v>18</v>
      </c>
      <c r="C153" s="1">
        <v>18</v>
      </c>
      <c r="D153" s="3">
        <v>5</v>
      </c>
      <c r="E153" s="1" t="s">
        <v>588</v>
      </c>
    </row>
    <row r="154" spans="1:5" hidden="1" x14ac:dyDescent="0.3">
      <c r="A154" s="5">
        <v>153</v>
      </c>
      <c r="B154" s="1">
        <v>22</v>
      </c>
      <c r="C154" s="1">
        <v>15</v>
      </c>
      <c r="D154" s="3">
        <v>5</v>
      </c>
      <c r="E154" s="1" t="s">
        <v>589</v>
      </c>
    </row>
    <row r="155" spans="1:5" hidden="1" x14ac:dyDescent="0.3">
      <c r="A155" s="5">
        <v>154</v>
      </c>
      <c r="B155" s="1">
        <v>18</v>
      </c>
      <c r="C155" s="1">
        <v>46</v>
      </c>
      <c r="D155" s="3">
        <v>5</v>
      </c>
      <c r="E155" s="1" t="s">
        <v>590</v>
      </c>
    </row>
    <row r="156" spans="1:5" hidden="1" x14ac:dyDescent="0.3">
      <c r="A156" s="5">
        <v>155</v>
      </c>
      <c r="B156" s="1">
        <v>15</v>
      </c>
      <c r="C156" s="1">
        <v>45</v>
      </c>
      <c r="D156" s="3">
        <v>1</v>
      </c>
      <c r="E156" s="1" t="s">
        <v>591</v>
      </c>
    </row>
    <row r="157" spans="1:5" hidden="1" x14ac:dyDescent="0.3">
      <c r="A157" s="5">
        <v>156</v>
      </c>
      <c r="B157" s="1">
        <v>20</v>
      </c>
      <c r="C157" s="1">
        <v>55</v>
      </c>
      <c r="D157" s="3">
        <v>3.5</v>
      </c>
      <c r="E157" s="1" t="s">
        <v>592</v>
      </c>
    </row>
    <row r="158" spans="1:5" hidden="1" x14ac:dyDescent="0.3">
      <c r="A158" s="5">
        <v>157</v>
      </c>
      <c r="B158" s="1">
        <v>4</v>
      </c>
      <c r="C158" s="1">
        <v>48</v>
      </c>
      <c r="D158" s="3">
        <v>5</v>
      </c>
      <c r="E158" s="1" t="s">
        <v>593</v>
      </c>
    </row>
    <row r="159" spans="1:5" hidden="1" x14ac:dyDescent="0.3">
      <c r="A159" s="5">
        <v>158</v>
      </c>
      <c r="B159" s="1">
        <v>21</v>
      </c>
      <c r="C159" s="1">
        <v>3</v>
      </c>
      <c r="D159" s="3">
        <v>2.5</v>
      </c>
      <c r="E159" s="1" t="s">
        <v>594</v>
      </c>
    </row>
    <row r="160" spans="1:5" hidden="1" x14ac:dyDescent="0.3">
      <c r="A160" s="5">
        <v>159</v>
      </c>
      <c r="B160" s="1">
        <v>3</v>
      </c>
      <c r="C160" s="1">
        <v>34</v>
      </c>
      <c r="D160" s="3">
        <v>1.5</v>
      </c>
      <c r="E160" s="1" t="s">
        <v>595</v>
      </c>
    </row>
    <row r="161" spans="1:5" hidden="1" x14ac:dyDescent="0.3">
      <c r="A161" s="5">
        <v>160</v>
      </c>
      <c r="B161" s="1">
        <v>23</v>
      </c>
      <c r="C161" s="1">
        <v>57</v>
      </c>
      <c r="D161" s="3">
        <v>5</v>
      </c>
      <c r="E161" s="1" t="s">
        <v>596</v>
      </c>
    </row>
    <row r="162" spans="1:5" hidden="1" x14ac:dyDescent="0.3">
      <c r="A162" s="5">
        <v>161</v>
      </c>
      <c r="B162" s="1">
        <v>10</v>
      </c>
      <c r="C162" s="1">
        <v>3</v>
      </c>
      <c r="D162" s="3">
        <v>1.5</v>
      </c>
      <c r="E162" s="1" t="s">
        <v>597</v>
      </c>
    </row>
    <row r="163" spans="1:5" hidden="1" x14ac:dyDescent="0.3">
      <c r="A163" s="5">
        <v>162</v>
      </c>
      <c r="B163" s="1">
        <v>24</v>
      </c>
      <c r="C163" s="1">
        <v>57</v>
      </c>
      <c r="D163" s="3">
        <v>3.5</v>
      </c>
      <c r="E163" s="1" t="s">
        <v>598</v>
      </c>
    </row>
    <row r="164" spans="1:5" hidden="1" x14ac:dyDescent="0.3">
      <c r="A164" s="5">
        <v>163</v>
      </c>
      <c r="B164" s="1">
        <v>14</v>
      </c>
      <c r="C164" s="1">
        <v>51</v>
      </c>
      <c r="D164" s="3">
        <v>5</v>
      </c>
      <c r="E164" s="1" t="s">
        <v>599</v>
      </c>
    </row>
    <row r="165" spans="1:5" hidden="1" x14ac:dyDescent="0.3">
      <c r="A165" s="5">
        <v>164</v>
      </c>
      <c r="B165" s="1">
        <v>11</v>
      </c>
      <c r="C165" s="1">
        <v>22</v>
      </c>
      <c r="D165" s="3">
        <v>5</v>
      </c>
      <c r="E165" s="1" t="s">
        <v>600</v>
      </c>
    </row>
    <row r="166" spans="1:5" hidden="1" x14ac:dyDescent="0.3">
      <c r="A166" s="5">
        <v>165</v>
      </c>
      <c r="B166" s="1">
        <v>19</v>
      </c>
      <c r="C166" s="1">
        <v>9</v>
      </c>
      <c r="D166" s="3">
        <v>1</v>
      </c>
      <c r="E166" s="1" t="s">
        <v>571</v>
      </c>
    </row>
    <row r="167" spans="1:5" hidden="1" x14ac:dyDescent="0.3">
      <c r="A167" s="5">
        <v>166</v>
      </c>
      <c r="B167" s="1">
        <v>11</v>
      </c>
      <c r="C167" s="1">
        <v>47</v>
      </c>
      <c r="D167" s="3">
        <v>3.5</v>
      </c>
      <c r="E167" s="1" t="s">
        <v>601</v>
      </c>
    </row>
    <row r="168" spans="1:5" hidden="1" x14ac:dyDescent="0.3">
      <c r="A168" s="5">
        <v>167</v>
      </c>
      <c r="B168" s="1">
        <v>19</v>
      </c>
      <c r="C168" s="1">
        <v>20</v>
      </c>
      <c r="D168" s="3">
        <v>1</v>
      </c>
      <c r="E168" s="1" t="s">
        <v>602</v>
      </c>
    </row>
    <row r="169" spans="1:5" hidden="1" x14ac:dyDescent="0.3">
      <c r="A169" s="5">
        <v>168</v>
      </c>
      <c r="B169" s="1">
        <v>19</v>
      </c>
      <c r="C169" s="1">
        <v>38</v>
      </c>
      <c r="D169" s="3">
        <v>1</v>
      </c>
      <c r="E169" s="1" t="s">
        <v>603</v>
      </c>
    </row>
    <row r="170" spans="1:5" hidden="1" x14ac:dyDescent="0.3">
      <c r="A170" s="5">
        <v>169</v>
      </c>
      <c r="B170" s="1">
        <v>7</v>
      </c>
      <c r="C170" s="1">
        <v>52</v>
      </c>
      <c r="D170" s="3">
        <v>2.5</v>
      </c>
      <c r="E170" s="1" t="s">
        <v>604</v>
      </c>
    </row>
    <row r="171" spans="1:5" hidden="1" x14ac:dyDescent="0.3">
      <c r="A171" s="5">
        <v>170</v>
      </c>
      <c r="B171" s="1">
        <v>1</v>
      </c>
      <c r="C171" s="1">
        <v>50</v>
      </c>
      <c r="D171" s="3">
        <v>5</v>
      </c>
      <c r="E171" s="1" t="s">
        <v>605</v>
      </c>
    </row>
    <row r="172" spans="1:5" hidden="1" x14ac:dyDescent="0.3">
      <c r="A172" s="5">
        <v>171</v>
      </c>
      <c r="B172" s="1">
        <v>15</v>
      </c>
      <c r="C172" s="1">
        <v>51</v>
      </c>
      <c r="D172" s="3">
        <v>4.5</v>
      </c>
      <c r="E172" s="1" t="s">
        <v>606</v>
      </c>
    </row>
    <row r="173" spans="1:5" hidden="1" x14ac:dyDescent="0.3">
      <c r="A173" s="5">
        <v>172</v>
      </c>
      <c r="B173" s="1">
        <v>25</v>
      </c>
      <c r="C173" s="1">
        <v>35</v>
      </c>
      <c r="D173" s="3">
        <v>4.5</v>
      </c>
      <c r="E173" s="1" t="s">
        <v>607</v>
      </c>
    </row>
    <row r="174" spans="1:5" hidden="1" x14ac:dyDescent="0.3">
      <c r="A174" s="5">
        <v>173</v>
      </c>
      <c r="B174" s="1">
        <v>16</v>
      </c>
      <c r="C174" s="1">
        <v>6</v>
      </c>
      <c r="D174" s="3">
        <v>1</v>
      </c>
      <c r="E174" s="1" t="s">
        <v>608</v>
      </c>
    </row>
    <row r="175" spans="1:5" hidden="1" x14ac:dyDescent="0.3">
      <c r="A175" s="5">
        <v>174</v>
      </c>
      <c r="B175" s="1">
        <v>12</v>
      </c>
      <c r="C175" s="1">
        <v>28</v>
      </c>
      <c r="D175" s="3">
        <v>3.5</v>
      </c>
      <c r="E175" s="1" t="s">
        <v>609</v>
      </c>
    </row>
    <row r="176" spans="1:5" hidden="1" x14ac:dyDescent="0.3">
      <c r="A176" s="5">
        <v>175</v>
      </c>
      <c r="B176" s="1">
        <v>13</v>
      </c>
      <c r="C176" s="1">
        <v>49</v>
      </c>
      <c r="D176" s="3">
        <v>5</v>
      </c>
      <c r="E176" s="1" t="s">
        <v>610</v>
      </c>
    </row>
    <row r="177" spans="1:5" hidden="1" x14ac:dyDescent="0.3">
      <c r="A177" s="5">
        <v>176</v>
      </c>
      <c r="B177" s="1">
        <v>12</v>
      </c>
      <c r="C177" s="1">
        <v>53</v>
      </c>
      <c r="D177" s="3">
        <v>5</v>
      </c>
      <c r="E177" s="1" t="s">
        <v>611</v>
      </c>
    </row>
    <row r="178" spans="1:5" hidden="1" x14ac:dyDescent="0.3">
      <c r="A178" s="5">
        <v>177</v>
      </c>
      <c r="B178" s="1">
        <v>26</v>
      </c>
      <c r="C178" s="1">
        <v>55</v>
      </c>
      <c r="D178" s="3">
        <v>1.5</v>
      </c>
      <c r="E178" s="1" t="s">
        <v>612</v>
      </c>
    </row>
    <row r="179" spans="1:5" hidden="1" x14ac:dyDescent="0.3">
      <c r="A179" s="5">
        <v>178</v>
      </c>
      <c r="B179" s="1">
        <v>21</v>
      </c>
      <c r="C179" s="1">
        <v>44</v>
      </c>
      <c r="D179" s="3">
        <v>5</v>
      </c>
      <c r="E179" s="1" t="s">
        <v>613</v>
      </c>
    </row>
    <row r="180" spans="1:5" hidden="1" x14ac:dyDescent="0.3">
      <c r="A180" s="5">
        <v>179</v>
      </c>
      <c r="B180" s="1">
        <v>12</v>
      </c>
      <c r="C180" s="1">
        <v>40</v>
      </c>
      <c r="D180" s="3">
        <v>5</v>
      </c>
      <c r="E180" s="1" t="s">
        <v>614</v>
      </c>
    </row>
    <row r="181" spans="1:5" hidden="1" x14ac:dyDescent="0.3">
      <c r="A181" s="5">
        <v>180</v>
      </c>
      <c r="B181" s="1">
        <v>8</v>
      </c>
      <c r="C181" s="1">
        <v>49</v>
      </c>
      <c r="D181" s="3">
        <v>1</v>
      </c>
      <c r="E181" s="1" t="s">
        <v>615</v>
      </c>
    </row>
    <row r="182" spans="1:5" hidden="1" x14ac:dyDescent="0.3">
      <c r="A182" s="5">
        <v>181</v>
      </c>
      <c r="B182" s="1">
        <v>11</v>
      </c>
      <c r="C182" s="1">
        <v>56</v>
      </c>
      <c r="D182" s="3">
        <v>1</v>
      </c>
      <c r="E182" s="1" t="s">
        <v>616</v>
      </c>
    </row>
    <row r="183" spans="1:5" hidden="1" x14ac:dyDescent="0.3">
      <c r="A183" s="5">
        <v>182</v>
      </c>
      <c r="B183" s="1">
        <v>3</v>
      </c>
      <c r="C183" s="1">
        <v>32</v>
      </c>
      <c r="D183" s="3">
        <v>5</v>
      </c>
      <c r="E183" s="1" t="s">
        <v>617</v>
      </c>
    </row>
    <row r="184" spans="1:5" hidden="1" x14ac:dyDescent="0.3">
      <c r="A184" s="5">
        <v>183</v>
      </c>
      <c r="B184" s="1">
        <v>18</v>
      </c>
      <c r="C184" s="1">
        <v>23</v>
      </c>
      <c r="D184" s="3">
        <v>5</v>
      </c>
      <c r="E184" s="1" t="s">
        <v>618</v>
      </c>
    </row>
    <row r="185" spans="1:5" hidden="1" x14ac:dyDescent="0.3">
      <c r="A185" s="5">
        <v>184</v>
      </c>
      <c r="B185" s="1">
        <v>8</v>
      </c>
      <c r="C185" s="1">
        <v>39</v>
      </c>
      <c r="D185" s="3">
        <v>4.5</v>
      </c>
      <c r="E185" s="1" t="s">
        <v>619</v>
      </c>
    </row>
    <row r="186" spans="1:5" hidden="1" x14ac:dyDescent="0.3">
      <c r="A186" s="5">
        <v>185</v>
      </c>
      <c r="B186" s="1">
        <v>23</v>
      </c>
      <c r="C186" s="1">
        <v>12</v>
      </c>
      <c r="D186" s="3">
        <v>1</v>
      </c>
    </row>
    <row r="187" spans="1:5" hidden="1" x14ac:dyDescent="0.3">
      <c r="A187" s="5">
        <v>186</v>
      </c>
      <c r="B187" s="1">
        <v>14</v>
      </c>
      <c r="C187" s="1">
        <v>44</v>
      </c>
      <c r="D187" s="3">
        <v>1</v>
      </c>
    </row>
    <row r="188" spans="1:5" hidden="1" x14ac:dyDescent="0.3">
      <c r="A188" s="5">
        <v>187</v>
      </c>
      <c r="B188" s="1">
        <v>24</v>
      </c>
      <c r="C188" s="1">
        <v>32</v>
      </c>
      <c r="D188" s="3">
        <v>1</v>
      </c>
    </row>
    <row r="189" spans="1:5" hidden="1" x14ac:dyDescent="0.3">
      <c r="A189" s="5">
        <v>188</v>
      </c>
      <c r="B189" s="1">
        <v>3</v>
      </c>
      <c r="C189" s="1">
        <v>10</v>
      </c>
      <c r="D189" s="3">
        <v>1</v>
      </c>
    </row>
    <row r="190" spans="1:5" hidden="1" x14ac:dyDescent="0.3">
      <c r="A190" s="5">
        <v>189</v>
      </c>
      <c r="B190" s="1">
        <v>20</v>
      </c>
      <c r="C190" s="1">
        <v>18</v>
      </c>
      <c r="D190" s="3">
        <v>1</v>
      </c>
    </row>
    <row r="191" spans="1:5" hidden="1" x14ac:dyDescent="0.3">
      <c r="A191" s="5">
        <v>190</v>
      </c>
      <c r="B191" s="1">
        <v>3</v>
      </c>
      <c r="C191" s="1">
        <v>56</v>
      </c>
      <c r="D191" s="3">
        <v>1</v>
      </c>
    </row>
    <row r="192" spans="1:5" hidden="1" x14ac:dyDescent="0.3">
      <c r="A192" s="5">
        <v>191</v>
      </c>
      <c r="B192" s="1">
        <v>7</v>
      </c>
      <c r="C192" s="1">
        <v>25</v>
      </c>
      <c r="D192" s="3">
        <v>1</v>
      </c>
    </row>
    <row r="193" spans="1:4" hidden="1" x14ac:dyDescent="0.3">
      <c r="A193" s="5">
        <v>192</v>
      </c>
      <c r="B193" s="1">
        <v>23</v>
      </c>
      <c r="C193" s="1">
        <v>43</v>
      </c>
      <c r="D193" s="3">
        <v>1</v>
      </c>
    </row>
    <row r="194" spans="1:4" hidden="1" x14ac:dyDescent="0.3">
      <c r="A194" s="5">
        <v>193</v>
      </c>
      <c r="B194" s="1">
        <v>27</v>
      </c>
      <c r="C194" s="1">
        <v>47</v>
      </c>
      <c r="D194" s="3">
        <v>1</v>
      </c>
    </row>
    <row r="195" spans="1:4" hidden="1" x14ac:dyDescent="0.3">
      <c r="A195" s="5">
        <v>194</v>
      </c>
      <c r="B195" s="1">
        <v>3</v>
      </c>
      <c r="C195" s="1">
        <v>19</v>
      </c>
      <c r="D195" s="3">
        <v>1</v>
      </c>
    </row>
    <row r="196" spans="1:4" hidden="1" x14ac:dyDescent="0.3">
      <c r="A196" s="5">
        <v>195</v>
      </c>
      <c r="B196" s="1">
        <v>18</v>
      </c>
      <c r="C196" s="1">
        <v>20</v>
      </c>
      <c r="D196" s="3">
        <v>1</v>
      </c>
    </row>
    <row r="197" spans="1:4" hidden="1" x14ac:dyDescent="0.3">
      <c r="A197" s="5">
        <v>196</v>
      </c>
      <c r="B197" s="1">
        <v>16</v>
      </c>
      <c r="C197" s="1">
        <v>5</v>
      </c>
      <c r="D197" s="3">
        <v>1</v>
      </c>
    </row>
    <row r="198" spans="1:4" hidden="1" x14ac:dyDescent="0.3">
      <c r="A198" s="5">
        <v>197</v>
      </c>
      <c r="B198" s="1">
        <v>19</v>
      </c>
      <c r="C198" s="1">
        <v>36</v>
      </c>
      <c r="D198" s="3">
        <v>1</v>
      </c>
    </row>
    <row r="199" spans="1:4" hidden="1" x14ac:dyDescent="0.3">
      <c r="A199" s="5">
        <v>198</v>
      </c>
      <c r="B199" s="1">
        <v>27</v>
      </c>
      <c r="C199" s="1">
        <v>50</v>
      </c>
      <c r="D199" s="3">
        <v>1</v>
      </c>
    </row>
    <row r="200" spans="1:4" hidden="1" x14ac:dyDescent="0.3">
      <c r="A200" s="5">
        <v>199</v>
      </c>
      <c r="B200" s="1">
        <v>8</v>
      </c>
      <c r="C200" s="1">
        <v>13</v>
      </c>
      <c r="D200" s="3">
        <v>1</v>
      </c>
    </row>
    <row r="201" spans="1:4" hidden="1" x14ac:dyDescent="0.3">
      <c r="A201" s="5">
        <v>200</v>
      </c>
      <c r="B201" s="1">
        <v>2</v>
      </c>
      <c r="C201" s="1">
        <v>52</v>
      </c>
      <c r="D201" s="3">
        <v>1</v>
      </c>
    </row>
    <row r="202" spans="1:4" hidden="1" x14ac:dyDescent="0.3">
      <c r="A202" s="5">
        <v>201</v>
      </c>
      <c r="B202" s="1">
        <v>17</v>
      </c>
      <c r="C202" s="1">
        <v>54</v>
      </c>
      <c r="D202" s="3">
        <v>1</v>
      </c>
    </row>
    <row r="203" spans="1:4" hidden="1" x14ac:dyDescent="0.3">
      <c r="A203" s="5">
        <v>202</v>
      </c>
      <c r="B203" s="1">
        <v>25</v>
      </c>
      <c r="C203" s="1">
        <v>6</v>
      </c>
      <c r="D203" s="3">
        <v>1</v>
      </c>
    </row>
    <row r="204" spans="1:4" hidden="1" x14ac:dyDescent="0.3">
      <c r="A204" s="5">
        <v>203</v>
      </c>
      <c r="B204" s="1">
        <v>8</v>
      </c>
      <c r="C204" s="1">
        <v>36</v>
      </c>
      <c r="D204" s="3">
        <v>1</v>
      </c>
    </row>
    <row r="205" spans="1:4" hidden="1" x14ac:dyDescent="0.3">
      <c r="A205" s="5">
        <v>204</v>
      </c>
      <c r="B205" s="1">
        <v>25</v>
      </c>
      <c r="C205" s="1">
        <v>10</v>
      </c>
      <c r="D205" s="3">
        <v>1</v>
      </c>
    </row>
    <row r="206" spans="1:4" hidden="1" x14ac:dyDescent="0.3">
      <c r="A206" s="5">
        <v>205</v>
      </c>
      <c r="B206" s="1">
        <v>11</v>
      </c>
      <c r="C206" s="1">
        <v>51</v>
      </c>
      <c r="D206" s="3">
        <v>1</v>
      </c>
    </row>
    <row r="207" spans="1:4" hidden="1" x14ac:dyDescent="0.3">
      <c r="A207" s="5">
        <v>206</v>
      </c>
      <c r="B207" s="1">
        <v>17</v>
      </c>
      <c r="C207" s="1">
        <v>26</v>
      </c>
      <c r="D207" s="3">
        <v>1</v>
      </c>
    </row>
    <row r="208" spans="1:4" hidden="1" x14ac:dyDescent="0.3">
      <c r="A208" s="5">
        <v>207</v>
      </c>
      <c r="B208" s="1">
        <v>1</v>
      </c>
      <c r="C208" s="1">
        <v>21</v>
      </c>
      <c r="D208" s="3">
        <v>1</v>
      </c>
    </row>
    <row r="209" spans="1:4" hidden="1" x14ac:dyDescent="0.3">
      <c r="A209" s="5">
        <v>208</v>
      </c>
      <c r="B209" s="1">
        <v>23</v>
      </c>
      <c r="C209" s="1">
        <v>25</v>
      </c>
      <c r="D209" s="3">
        <v>1</v>
      </c>
    </row>
    <row r="210" spans="1:4" hidden="1" x14ac:dyDescent="0.3">
      <c r="A210" s="5">
        <v>209</v>
      </c>
      <c r="B210" s="1">
        <v>22</v>
      </c>
      <c r="C210" s="1">
        <v>5</v>
      </c>
      <c r="D210" s="3">
        <v>1</v>
      </c>
    </row>
    <row r="211" spans="1:4" hidden="1" x14ac:dyDescent="0.3">
      <c r="A211" s="5">
        <v>210</v>
      </c>
      <c r="B211" s="1">
        <v>2</v>
      </c>
      <c r="C211" s="1">
        <v>43</v>
      </c>
      <c r="D211" s="3">
        <v>1</v>
      </c>
    </row>
    <row r="212" spans="1:4" hidden="1" x14ac:dyDescent="0.3">
      <c r="A212" s="5">
        <v>211</v>
      </c>
      <c r="B212" s="1">
        <v>27</v>
      </c>
      <c r="C212" s="1">
        <v>57</v>
      </c>
      <c r="D212" s="3">
        <v>1</v>
      </c>
    </row>
    <row r="213" spans="1:4" hidden="1" x14ac:dyDescent="0.3">
      <c r="A213" s="5">
        <v>212</v>
      </c>
      <c r="B213" s="1">
        <v>4</v>
      </c>
      <c r="C213" s="1">
        <v>28</v>
      </c>
      <c r="D213" s="3">
        <v>1</v>
      </c>
    </row>
    <row r="214" spans="1:4" hidden="1" x14ac:dyDescent="0.3">
      <c r="A214" s="5">
        <v>213</v>
      </c>
      <c r="B214" s="1">
        <v>6</v>
      </c>
      <c r="C214" s="1">
        <v>52</v>
      </c>
      <c r="D214" s="3">
        <v>1</v>
      </c>
    </row>
    <row r="215" spans="1:4" hidden="1" x14ac:dyDescent="0.3">
      <c r="A215" s="5">
        <v>214</v>
      </c>
      <c r="B215" s="1">
        <v>16</v>
      </c>
      <c r="C215" s="1">
        <v>6</v>
      </c>
      <c r="D215" s="3">
        <v>1</v>
      </c>
    </row>
    <row r="216" spans="1:4" hidden="1" x14ac:dyDescent="0.3">
      <c r="A216" s="5">
        <v>215</v>
      </c>
      <c r="B216" s="1">
        <v>6</v>
      </c>
      <c r="C216" s="1">
        <v>22</v>
      </c>
      <c r="D216" s="3">
        <v>1</v>
      </c>
    </row>
    <row r="217" spans="1:4" hidden="1" x14ac:dyDescent="0.3">
      <c r="A217" s="5">
        <v>216</v>
      </c>
      <c r="B217" s="1">
        <v>3</v>
      </c>
      <c r="C217" s="1">
        <v>29</v>
      </c>
      <c r="D217" s="3">
        <v>1</v>
      </c>
    </row>
    <row r="218" spans="1:4" hidden="1" x14ac:dyDescent="0.3">
      <c r="A218" s="5">
        <v>217</v>
      </c>
      <c r="B218" s="1">
        <v>12</v>
      </c>
      <c r="C218" s="1">
        <v>41</v>
      </c>
      <c r="D218" s="3">
        <v>1</v>
      </c>
    </row>
    <row r="219" spans="1:4" hidden="1" x14ac:dyDescent="0.3">
      <c r="A219" s="5">
        <v>218</v>
      </c>
      <c r="B219" s="1">
        <v>18</v>
      </c>
      <c r="C219" s="1">
        <v>2</v>
      </c>
      <c r="D219" s="3">
        <v>1</v>
      </c>
    </row>
    <row r="220" spans="1:4" hidden="1" x14ac:dyDescent="0.3">
      <c r="A220" s="5">
        <v>219</v>
      </c>
      <c r="B220" s="1">
        <v>7</v>
      </c>
      <c r="C220" s="1">
        <v>55</v>
      </c>
      <c r="D220" s="3">
        <v>1</v>
      </c>
    </row>
    <row r="221" spans="1:4" hidden="1" x14ac:dyDescent="0.3">
      <c r="A221" s="5">
        <v>220</v>
      </c>
      <c r="B221" s="1">
        <v>7</v>
      </c>
      <c r="C221" s="1">
        <v>16</v>
      </c>
      <c r="D221" s="3">
        <v>1</v>
      </c>
    </row>
    <row r="222" spans="1:4" hidden="1" x14ac:dyDescent="0.3">
      <c r="A222" s="5">
        <v>221</v>
      </c>
      <c r="B222" s="1">
        <v>8</v>
      </c>
      <c r="C222" s="1">
        <v>28</v>
      </c>
      <c r="D222" s="3">
        <v>1</v>
      </c>
    </row>
    <row r="223" spans="1:4" hidden="1" x14ac:dyDescent="0.3">
      <c r="A223" s="5">
        <v>222</v>
      </c>
      <c r="B223" s="1">
        <v>16</v>
      </c>
      <c r="C223" s="1">
        <v>11</v>
      </c>
      <c r="D223" s="3">
        <v>1</v>
      </c>
    </row>
    <row r="224" spans="1:4" hidden="1" x14ac:dyDescent="0.3">
      <c r="A224" s="5">
        <v>223</v>
      </c>
      <c r="B224" s="1">
        <v>26</v>
      </c>
      <c r="C224" s="1">
        <v>31</v>
      </c>
      <c r="D224" s="3">
        <v>1</v>
      </c>
    </row>
    <row r="225" spans="1:4" hidden="1" x14ac:dyDescent="0.3">
      <c r="A225" s="5">
        <v>224</v>
      </c>
      <c r="B225" s="1">
        <v>24</v>
      </c>
      <c r="C225" s="1">
        <v>50</v>
      </c>
      <c r="D225" s="3">
        <v>1</v>
      </c>
    </row>
    <row r="226" spans="1:4" hidden="1" x14ac:dyDescent="0.3">
      <c r="A226" s="5">
        <v>225</v>
      </c>
      <c r="B226" s="1">
        <v>27</v>
      </c>
      <c r="C226" s="1">
        <v>2</v>
      </c>
      <c r="D226" s="3">
        <v>1</v>
      </c>
    </row>
    <row r="227" spans="1:4" hidden="1" x14ac:dyDescent="0.3">
      <c r="A227" s="5">
        <v>226</v>
      </c>
      <c r="B227" s="1">
        <v>4</v>
      </c>
      <c r="C227" s="1">
        <v>24</v>
      </c>
      <c r="D227" s="3">
        <v>1</v>
      </c>
    </row>
    <row r="228" spans="1:4" hidden="1" x14ac:dyDescent="0.3">
      <c r="A228" s="5">
        <v>227</v>
      </c>
      <c r="B228" s="1">
        <v>17</v>
      </c>
      <c r="C228" s="1">
        <v>33</v>
      </c>
      <c r="D228" s="3">
        <v>1</v>
      </c>
    </row>
    <row r="229" spans="1:4" hidden="1" x14ac:dyDescent="0.3">
      <c r="A229" s="5">
        <v>228</v>
      </c>
      <c r="B229" s="1">
        <v>20</v>
      </c>
      <c r="C229" s="1">
        <v>16</v>
      </c>
      <c r="D229" s="3">
        <v>1</v>
      </c>
    </row>
    <row r="230" spans="1:4" hidden="1" x14ac:dyDescent="0.3">
      <c r="A230" s="5">
        <v>229</v>
      </c>
      <c r="B230" s="1">
        <v>5</v>
      </c>
      <c r="C230" s="1">
        <v>15</v>
      </c>
      <c r="D230" s="3">
        <v>1</v>
      </c>
    </row>
    <row r="231" spans="1:4" hidden="1" x14ac:dyDescent="0.3">
      <c r="A231" s="5">
        <v>230</v>
      </c>
      <c r="B231" s="1">
        <v>16</v>
      </c>
      <c r="C231" s="1">
        <v>52</v>
      </c>
      <c r="D231" s="3">
        <v>1</v>
      </c>
    </row>
    <row r="232" spans="1:4" hidden="1" x14ac:dyDescent="0.3">
      <c r="A232" s="5">
        <v>231</v>
      </c>
      <c r="B232" s="1">
        <v>25</v>
      </c>
      <c r="C232" s="1">
        <v>31</v>
      </c>
      <c r="D232" s="3">
        <v>1</v>
      </c>
    </row>
    <row r="233" spans="1:4" hidden="1" x14ac:dyDescent="0.3">
      <c r="A233" s="5">
        <v>232</v>
      </c>
      <c r="B233" s="1">
        <v>16</v>
      </c>
      <c r="C233" s="1">
        <v>14</v>
      </c>
      <c r="D233" s="3">
        <v>1</v>
      </c>
    </row>
    <row r="234" spans="1:4" hidden="1" x14ac:dyDescent="0.3">
      <c r="A234" s="5">
        <v>233</v>
      </c>
      <c r="B234" s="1">
        <v>9</v>
      </c>
      <c r="C234" s="1">
        <v>25</v>
      </c>
      <c r="D234" s="3">
        <v>1</v>
      </c>
    </row>
    <row r="235" spans="1:4" hidden="1" x14ac:dyDescent="0.3">
      <c r="A235" s="5">
        <v>234</v>
      </c>
      <c r="B235" s="1">
        <v>22</v>
      </c>
      <c r="C235" s="1">
        <v>26</v>
      </c>
      <c r="D235" s="3">
        <v>1</v>
      </c>
    </row>
    <row r="236" spans="1:4" hidden="1" x14ac:dyDescent="0.3">
      <c r="A236" s="5">
        <v>235</v>
      </c>
      <c r="B236" s="1">
        <v>10</v>
      </c>
      <c r="C236" s="1">
        <v>27</v>
      </c>
      <c r="D236" s="3">
        <v>1</v>
      </c>
    </row>
    <row r="237" spans="1:4" hidden="1" x14ac:dyDescent="0.3">
      <c r="A237" s="5">
        <v>236</v>
      </c>
      <c r="B237" s="1">
        <v>24</v>
      </c>
      <c r="C237" s="1">
        <v>45</v>
      </c>
      <c r="D237" s="3">
        <v>1</v>
      </c>
    </row>
    <row r="238" spans="1:4" hidden="1" x14ac:dyDescent="0.3">
      <c r="A238" s="5">
        <v>237</v>
      </c>
      <c r="B238" s="1">
        <v>1</v>
      </c>
      <c r="C238" s="1">
        <v>15</v>
      </c>
      <c r="D238" s="3">
        <v>1</v>
      </c>
    </row>
    <row r="239" spans="1:4" hidden="1" x14ac:dyDescent="0.3">
      <c r="A239" s="5">
        <v>238</v>
      </c>
      <c r="B239" s="1">
        <v>2</v>
      </c>
      <c r="C239" s="1">
        <v>1</v>
      </c>
      <c r="D239" s="3">
        <v>1</v>
      </c>
    </row>
    <row r="240" spans="1:4" hidden="1" x14ac:dyDescent="0.3">
      <c r="A240" s="5">
        <v>239</v>
      </c>
      <c r="B240" s="1">
        <v>22</v>
      </c>
      <c r="C240" s="1">
        <v>30</v>
      </c>
      <c r="D240" s="3">
        <v>1</v>
      </c>
    </row>
    <row r="241" spans="1:4" hidden="1" x14ac:dyDescent="0.3">
      <c r="A241" s="5">
        <v>240</v>
      </c>
      <c r="B241" s="1">
        <v>12</v>
      </c>
      <c r="C241" s="1">
        <v>42</v>
      </c>
      <c r="D241" s="3">
        <v>1</v>
      </c>
    </row>
    <row r="242" spans="1:4" hidden="1" x14ac:dyDescent="0.3">
      <c r="A242" s="5">
        <v>241</v>
      </c>
      <c r="B242" s="1">
        <v>26</v>
      </c>
      <c r="C242" s="1">
        <v>2</v>
      </c>
      <c r="D242" s="3">
        <v>1</v>
      </c>
    </row>
    <row r="243" spans="1:4" hidden="1" x14ac:dyDescent="0.3">
      <c r="A243" s="5">
        <v>242</v>
      </c>
      <c r="B243" s="1">
        <v>25</v>
      </c>
      <c r="C243" s="1">
        <v>55</v>
      </c>
      <c r="D243" s="3">
        <v>1</v>
      </c>
    </row>
    <row r="244" spans="1:4" hidden="1" x14ac:dyDescent="0.3">
      <c r="A244" s="5">
        <v>243</v>
      </c>
      <c r="B244" s="1">
        <v>8</v>
      </c>
      <c r="C244" s="1">
        <v>49</v>
      </c>
      <c r="D244" s="3">
        <v>1</v>
      </c>
    </row>
    <row r="245" spans="1:4" hidden="1" x14ac:dyDescent="0.3">
      <c r="A245" s="5">
        <v>244</v>
      </c>
      <c r="B245" s="1">
        <v>16</v>
      </c>
      <c r="C245" s="1">
        <v>34</v>
      </c>
      <c r="D245" s="3">
        <v>1</v>
      </c>
    </row>
    <row r="246" spans="1:4" hidden="1" x14ac:dyDescent="0.3">
      <c r="A246" s="5">
        <v>245</v>
      </c>
      <c r="B246" s="1">
        <v>6</v>
      </c>
      <c r="C246" s="1">
        <v>14</v>
      </c>
      <c r="D246" s="3">
        <v>1</v>
      </c>
    </row>
    <row r="247" spans="1:4" hidden="1" x14ac:dyDescent="0.3">
      <c r="A247" s="5">
        <v>246</v>
      </c>
      <c r="B247" s="1">
        <v>8</v>
      </c>
      <c r="C247" s="1">
        <v>46</v>
      </c>
      <c r="D247" s="3">
        <v>1</v>
      </c>
    </row>
    <row r="248" spans="1:4" hidden="1" x14ac:dyDescent="0.3">
      <c r="A248" s="5">
        <v>247</v>
      </c>
      <c r="B248" s="1">
        <v>14</v>
      </c>
      <c r="C248" s="1">
        <v>15</v>
      </c>
      <c r="D248" s="3">
        <v>1</v>
      </c>
    </row>
    <row r="249" spans="1:4" hidden="1" x14ac:dyDescent="0.3">
      <c r="A249" s="5">
        <v>248</v>
      </c>
      <c r="B249" s="1">
        <v>13</v>
      </c>
      <c r="C249" s="1">
        <v>1</v>
      </c>
      <c r="D249" s="3">
        <v>1</v>
      </c>
    </row>
    <row r="250" spans="1:4" hidden="1" x14ac:dyDescent="0.3">
      <c r="A250" s="5">
        <v>249</v>
      </c>
      <c r="B250" s="1">
        <v>4</v>
      </c>
      <c r="C250" s="1">
        <v>21</v>
      </c>
      <c r="D250" s="3">
        <v>1</v>
      </c>
    </row>
    <row r="251" spans="1:4" hidden="1" x14ac:dyDescent="0.3">
      <c r="A251" s="5">
        <v>250</v>
      </c>
      <c r="B251" s="1">
        <v>23</v>
      </c>
      <c r="C251" s="1">
        <v>14</v>
      </c>
      <c r="D251" s="3">
        <v>1</v>
      </c>
    </row>
    <row r="252" spans="1:4" hidden="1" x14ac:dyDescent="0.3">
      <c r="A252" s="5">
        <v>251</v>
      </c>
      <c r="B252" s="1">
        <v>5</v>
      </c>
      <c r="C252" s="1">
        <v>7</v>
      </c>
      <c r="D252" s="3">
        <v>1</v>
      </c>
    </row>
    <row r="253" spans="1:4" hidden="1" x14ac:dyDescent="0.3">
      <c r="A253" s="5">
        <v>252</v>
      </c>
      <c r="B253" s="1">
        <v>22</v>
      </c>
      <c r="C253" s="1">
        <v>57</v>
      </c>
      <c r="D253" s="3">
        <v>1</v>
      </c>
    </row>
    <row r="254" spans="1:4" hidden="1" x14ac:dyDescent="0.3">
      <c r="A254" s="5">
        <v>253</v>
      </c>
      <c r="B254" s="1">
        <v>4</v>
      </c>
      <c r="C254" s="1">
        <v>3</v>
      </c>
      <c r="D254" s="3">
        <v>1</v>
      </c>
    </row>
    <row r="255" spans="1:4" hidden="1" x14ac:dyDescent="0.3">
      <c r="A255" s="5">
        <v>254</v>
      </c>
      <c r="B255" s="1">
        <v>20</v>
      </c>
      <c r="C255" s="1">
        <v>49</v>
      </c>
      <c r="D255" s="3">
        <v>1</v>
      </c>
    </row>
    <row r="256" spans="1:4" hidden="1" x14ac:dyDescent="0.3">
      <c r="A256" s="5">
        <v>255</v>
      </c>
      <c r="B256" s="1">
        <v>6</v>
      </c>
      <c r="C256" s="1">
        <v>32</v>
      </c>
      <c r="D256" s="3">
        <v>1</v>
      </c>
    </row>
    <row r="257" spans="1:4" hidden="1" x14ac:dyDescent="0.3">
      <c r="A257" s="5">
        <v>256</v>
      </c>
      <c r="B257" s="1">
        <v>17</v>
      </c>
      <c r="C257" s="1">
        <v>34</v>
      </c>
      <c r="D257" s="3">
        <v>1</v>
      </c>
    </row>
    <row r="258" spans="1:4" hidden="1" x14ac:dyDescent="0.3">
      <c r="A258" s="5">
        <v>257</v>
      </c>
      <c r="B258" s="1">
        <v>21</v>
      </c>
      <c r="C258" s="1">
        <v>5</v>
      </c>
      <c r="D258" s="3">
        <v>1</v>
      </c>
    </row>
    <row r="259" spans="1:4" hidden="1" x14ac:dyDescent="0.3">
      <c r="A259" s="5">
        <v>258</v>
      </c>
      <c r="B259" s="1">
        <v>16</v>
      </c>
      <c r="C259" s="1">
        <v>33</v>
      </c>
      <c r="D259" s="3">
        <v>1</v>
      </c>
    </row>
    <row r="260" spans="1:4" hidden="1" x14ac:dyDescent="0.3">
      <c r="A260" s="5">
        <v>259</v>
      </c>
      <c r="B260" s="1">
        <v>8</v>
      </c>
      <c r="C260" s="1">
        <v>21</v>
      </c>
      <c r="D260" s="3">
        <v>1</v>
      </c>
    </row>
    <row r="261" spans="1:4" hidden="1" x14ac:dyDescent="0.3">
      <c r="A261" s="5">
        <v>260</v>
      </c>
      <c r="B261" s="1">
        <v>8</v>
      </c>
      <c r="C261" s="1">
        <v>17</v>
      </c>
      <c r="D261" s="3">
        <v>1</v>
      </c>
    </row>
    <row r="262" spans="1:4" hidden="1" x14ac:dyDescent="0.3">
      <c r="A262" s="5">
        <v>261</v>
      </c>
      <c r="B262" s="1">
        <v>17</v>
      </c>
      <c r="C262" s="1">
        <v>31</v>
      </c>
      <c r="D262" s="3">
        <v>1</v>
      </c>
    </row>
    <row r="263" spans="1:4" hidden="1" x14ac:dyDescent="0.3">
      <c r="A263" s="5">
        <v>262</v>
      </c>
      <c r="B263" s="1">
        <v>19</v>
      </c>
      <c r="C263" s="1">
        <v>11</v>
      </c>
      <c r="D263" s="3">
        <v>1</v>
      </c>
    </row>
    <row r="264" spans="1:4" hidden="1" x14ac:dyDescent="0.3">
      <c r="A264" s="5">
        <v>263</v>
      </c>
      <c r="B264" s="1">
        <v>11</v>
      </c>
      <c r="C264" s="1">
        <v>10</v>
      </c>
      <c r="D264" s="3">
        <v>1</v>
      </c>
    </row>
    <row r="265" spans="1:4" hidden="1" x14ac:dyDescent="0.3">
      <c r="A265" s="5">
        <v>264</v>
      </c>
      <c r="B265" s="1">
        <v>26</v>
      </c>
      <c r="C265" s="1">
        <v>54</v>
      </c>
      <c r="D265" s="3">
        <v>1</v>
      </c>
    </row>
    <row r="266" spans="1:4" hidden="1" x14ac:dyDescent="0.3">
      <c r="A266" s="5">
        <v>265</v>
      </c>
      <c r="B266" s="1">
        <v>27</v>
      </c>
      <c r="C266" s="1">
        <v>17</v>
      </c>
      <c r="D266" s="3">
        <v>1</v>
      </c>
    </row>
    <row r="267" spans="1:4" hidden="1" x14ac:dyDescent="0.3">
      <c r="A267" s="5">
        <v>266</v>
      </c>
      <c r="B267" s="1">
        <v>20</v>
      </c>
      <c r="C267" s="1">
        <v>35</v>
      </c>
      <c r="D267" s="3">
        <v>1</v>
      </c>
    </row>
    <row r="268" spans="1:4" hidden="1" x14ac:dyDescent="0.3">
      <c r="A268" s="5">
        <v>267</v>
      </c>
      <c r="B268" s="1">
        <v>14</v>
      </c>
      <c r="C268" s="1">
        <v>52</v>
      </c>
      <c r="D268" s="3">
        <v>1</v>
      </c>
    </row>
    <row r="269" spans="1:4" hidden="1" x14ac:dyDescent="0.3">
      <c r="A269" s="5">
        <v>268</v>
      </c>
      <c r="B269" s="1">
        <v>19</v>
      </c>
      <c r="C269" s="1">
        <v>50</v>
      </c>
      <c r="D269" s="3">
        <v>1</v>
      </c>
    </row>
    <row r="270" spans="1:4" hidden="1" x14ac:dyDescent="0.3">
      <c r="A270" s="5">
        <v>269</v>
      </c>
      <c r="B270" s="1">
        <v>25</v>
      </c>
      <c r="C270" s="1">
        <v>8</v>
      </c>
      <c r="D270" s="3">
        <v>1</v>
      </c>
    </row>
    <row r="271" spans="1:4" hidden="1" x14ac:dyDescent="0.3">
      <c r="A271" s="5">
        <v>270</v>
      </c>
      <c r="B271" s="1">
        <v>7</v>
      </c>
      <c r="C271" s="1">
        <v>4</v>
      </c>
      <c r="D271" s="3">
        <v>1</v>
      </c>
    </row>
    <row r="272" spans="1:4" hidden="1" x14ac:dyDescent="0.3">
      <c r="A272" s="5">
        <v>271</v>
      </c>
      <c r="B272" s="1">
        <v>3</v>
      </c>
      <c r="C272" s="1">
        <v>14</v>
      </c>
      <c r="D272" s="3">
        <v>1</v>
      </c>
    </row>
    <row r="273" spans="1:4" hidden="1" x14ac:dyDescent="0.3">
      <c r="A273" s="5">
        <v>272</v>
      </c>
      <c r="B273" s="1">
        <v>25</v>
      </c>
      <c r="C273" s="1">
        <v>42</v>
      </c>
      <c r="D273" s="3">
        <v>1</v>
      </c>
    </row>
    <row r="274" spans="1:4" hidden="1" x14ac:dyDescent="0.3">
      <c r="A274" s="5">
        <v>273</v>
      </c>
      <c r="B274" s="1">
        <v>23</v>
      </c>
      <c r="C274" s="1">
        <v>43</v>
      </c>
      <c r="D274" s="3">
        <v>1</v>
      </c>
    </row>
    <row r="275" spans="1:4" hidden="1" x14ac:dyDescent="0.3">
      <c r="A275" s="5">
        <v>274</v>
      </c>
      <c r="B275" s="1">
        <v>1</v>
      </c>
      <c r="C275" s="1">
        <v>38</v>
      </c>
      <c r="D275" s="3">
        <v>1</v>
      </c>
    </row>
    <row r="276" spans="1:4" hidden="1" x14ac:dyDescent="0.3">
      <c r="A276" s="5">
        <v>275</v>
      </c>
      <c r="B276" s="1">
        <v>13</v>
      </c>
      <c r="C276" s="1">
        <v>15</v>
      </c>
      <c r="D276" s="3">
        <v>1</v>
      </c>
    </row>
    <row r="277" spans="1:4" hidden="1" x14ac:dyDescent="0.3">
      <c r="A277" s="5">
        <v>276</v>
      </c>
      <c r="B277" s="1">
        <v>8</v>
      </c>
      <c r="C277" s="1">
        <v>3</v>
      </c>
      <c r="D277" s="3">
        <v>1</v>
      </c>
    </row>
    <row r="278" spans="1:4" hidden="1" x14ac:dyDescent="0.3">
      <c r="A278" s="5">
        <v>277</v>
      </c>
      <c r="B278" s="1">
        <v>22</v>
      </c>
      <c r="C278" s="1">
        <v>48</v>
      </c>
      <c r="D278" s="3">
        <v>1</v>
      </c>
    </row>
    <row r="279" spans="1:4" hidden="1" x14ac:dyDescent="0.3">
      <c r="A279" s="5">
        <v>278</v>
      </c>
      <c r="B279" s="1">
        <v>12</v>
      </c>
      <c r="C279" s="1">
        <v>28</v>
      </c>
      <c r="D279" s="3">
        <v>1</v>
      </c>
    </row>
    <row r="280" spans="1:4" hidden="1" x14ac:dyDescent="0.3">
      <c r="A280" s="5">
        <v>279</v>
      </c>
      <c r="B280" s="1">
        <v>12</v>
      </c>
      <c r="C280" s="1">
        <v>10</v>
      </c>
      <c r="D280" s="3">
        <v>1</v>
      </c>
    </row>
    <row r="281" spans="1:4" hidden="1" x14ac:dyDescent="0.3">
      <c r="A281" s="5">
        <v>280</v>
      </c>
      <c r="B281" s="1">
        <v>21</v>
      </c>
      <c r="C281" s="1">
        <v>47</v>
      </c>
      <c r="D281" s="3">
        <v>1</v>
      </c>
    </row>
    <row r="282" spans="1:4" hidden="1" x14ac:dyDescent="0.3">
      <c r="A282" s="5">
        <v>281</v>
      </c>
      <c r="B282" s="1">
        <v>7</v>
      </c>
      <c r="C282" s="1">
        <v>1</v>
      </c>
      <c r="D282" s="3">
        <v>1</v>
      </c>
    </row>
    <row r="283" spans="1:4" hidden="1" x14ac:dyDescent="0.3">
      <c r="A283" s="5">
        <v>282</v>
      </c>
      <c r="B283" s="1">
        <v>18</v>
      </c>
      <c r="C283" s="1">
        <v>31</v>
      </c>
      <c r="D283" s="3">
        <v>1</v>
      </c>
    </row>
    <row r="284" spans="1:4" hidden="1" x14ac:dyDescent="0.3">
      <c r="A284" s="5">
        <v>283</v>
      </c>
      <c r="B284" s="1">
        <v>1</v>
      </c>
      <c r="C284" s="1">
        <v>11</v>
      </c>
      <c r="D284" s="3">
        <v>1</v>
      </c>
    </row>
    <row r="285" spans="1:4" hidden="1" x14ac:dyDescent="0.3">
      <c r="A285" s="5">
        <v>284</v>
      </c>
      <c r="B285" s="1">
        <v>11</v>
      </c>
      <c r="C285" s="1">
        <v>36</v>
      </c>
      <c r="D285" s="3">
        <v>1</v>
      </c>
    </row>
    <row r="286" spans="1:4" hidden="1" x14ac:dyDescent="0.3">
      <c r="A286" s="5">
        <v>285</v>
      </c>
      <c r="B286" s="1">
        <v>25</v>
      </c>
      <c r="C286" s="1">
        <v>39</v>
      </c>
      <c r="D286" s="3">
        <v>1</v>
      </c>
    </row>
    <row r="287" spans="1:4" hidden="1" x14ac:dyDescent="0.3">
      <c r="A287" s="5">
        <v>286</v>
      </c>
      <c r="B287" s="1">
        <v>27</v>
      </c>
      <c r="C287" s="1">
        <v>18</v>
      </c>
      <c r="D287" s="3">
        <v>1</v>
      </c>
    </row>
    <row r="288" spans="1:4" hidden="1" x14ac:dyDescent="0.3">
      <c r="A288" s="5">
        <v>287</v>
      </c>
      <c r="B288" s="1">
        <v>26</v>
      </c>
      <c r="C288" s="1">
        <v>27</v>
      </c>
      <c r="D288" s="3">
        <v>1</v>
      </c>
    </row>
    <row r="289" spans="1:4" hidden="1" x14ac:dyDescent="0.3">
      <c r="A289" s="5">
        <v>288</v>
      </c>
      <c r="B289" s="1">
        <v>17</v>
      </c>
      <c r="C289" s="1">
        <v>5</v>
      </c>
      <c r="D289" s="3">
        <v>1</v>
      </c>
    </row>
    <row r="290" spans="1:4" hidden="1" x14ac:dyDescent="0.3">
      <c r="A290" s="5">
        <v>289</v>
      </c>
      <c r="B290" s="1">
        <v>10</v>
      </c>
      <c r="C290" s="1">
        <v>23</v>
      </c>
      <c r="D290" s="3">
        <v>1</v>
      </c>
    </row>
  </sheetData>
  <phoneticPr fontId="1" type="noConversion"/>
  <conditionalFormatting sqref="A1:E1048576">
    <cfRule type="expression" dxfId="0" priority="1">
      <formula>$A1&lt;&gt;""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5</xdr:col>
                <xdr:colOff>200025</xdr:colOff>
                <xdr:row>0</xdr:row>
                <xdr:rowOff>47625</xdr:rowOff>
              </from>
              <to>
                <xdr:col>7</xdr:col>
                <xdr:colOff>457200</xdr:colOff>
                <xdr:row>291</xdr:row>
                <xdr:rowOff>114300</xdr:rowOff>
              </to>
            </anchor>
          </controlPr>
        </control>
      </mc:Choice>
      <mc:Fallback>
        <control shapeId="6145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X43"/>
  <sheetViews>
    <sheetView showGridLines="0" workbookViewId="0">
      <selection activeCell="C17" sqref="C17"/>
    </sheetView>
  </sheetViews>
  <sheetFormatPr defaultRowHeight="16.5" x14ac:dyDescent="0.3"/>
  <cols>
    <col min="1" max="16384" width="9" style="14"/>
  </cols>
  <sheetData>
    <row r="1" spans="1:4" x14ac:dyDescent="0.3">
      <c r="A1" s="14" t="s">
        <v>638</v>
      </c>
      <c r="D1" s="14">
        <v>15</v>
      </c>
    </row>
    <row r="2" spans="1:4" x14ac:dyDescent="0.3">
      <c r="A2" s="14" t="s">
        <v>639</v>
      </c>
      <c r="D2" s="14">
        <v>0</v>
      </c>
    </row>
    <row r="3" spans="1:4" x14ac:dyDescent="0.3">
      <c r="A3" s="14" t="s">
        <v>640</v>
      </c>
      <c r="D3" s="14" t="str">
        <f>INDEX(A1:A15,D1)</f>
        <v>제주</v>
      </c>
    </row>
    <row r="4" spans="1:4" x14ac:dyDescent="0.3">
      <c r="A4" s="14" t="s">
        <v>641</v>
      </c>
    </row>
    <row r="5" spans="1:4" x14ac:dyDescent="0.3">
      <c r="A5" s="14" t="s">
        <v>642</v>
      </c>
    </row>
    <row r="6" spans="1:4" x14ac:dyDescent="0.3">
      <c r="A6" s="14" t="s">
        <v>643</v>
      </c>
    </row>
    <row r="7" spans="1:4" x14ac:dyDescent="0.3">
      <c r="A7" s="14" t="s">
        <v>644</v>
      </c>
    </row>
    <row r="8" spans="1:4" x14ac:dyDescent="0.3">
      <c r="A8" s="14" t="s">
        <v>645</v>
      </c>
    </row>
    <row r="9" spans="1:4" x14ac:dyDescent="0.3">
      <c r="A9" s="14" t="s">
        <v>646</v>
      </c>
    </row>
    <row r="10" spans="1:4" x14ac:dyDescent="0.3">
      <c r="A10" s="14" t="s">
        <v>647</v>
      </c>
    </row>
    <row r="11" spans="1:4" x14ac:dyDescent="0.3">
      <c r="A11" s="14" t="s">
        <v>648</v>
      </c>
    </row>
    <row r="12" spans="1:4" x14ac:dyDescent="0.3">
      <c r="A12" s="14" t="s">
        <v>649</v>
      </c>
    </row>
    <row r="13" spans="1:4" x14ac:dyDescent="0.3">
      <c r="A13" s="14" t="s">
        <v>650</v>
      </c>
    </row>
    <row r="14" spans="1:4" x14ac:dyDescent="0.3">
      <c r="A14" s="14" t="s">
        <v>651</v>
      </c>
    </row>
    <row r="15" spans="1:4" x14ac:dyDescent="0.3">
      <c r="A15" s="14" t="s">
        <v>652</v>
      </c>
    </row>
    <row r="16" spans="1:4" x14ac:dyDescent="0.3">
      <c r="A16" s="14" t="s">
        <v>653</v>
      </c>
    </row>
    <row r="17" spans="1:24" x14ac:dyDescent="0.3">
      <c r="A17" s="14" t="s">
        <v>654</v>
      </c>
    </row>
    <row r="19" spans="1:24" x14ac:dyDescent="0.3">
      <c r="V19" s="14" t="s">
        <v>681</v>
      </c>
    </row>
    <row r="25" spans="1:24" x14ac:dyDescent="0.3">
      <c r="U25" s="14" t="str">
        <f ca="1">"총 :" &amp; SUM(U27:U33)&amp;"km"</f>
        <v>총 :0km</v>
      </c>
      <c r="V25" s="14" t="str">
        <f ca="1">"총 :" &amp; TEXT(SUM(V27:V33),"#,##0")</f>
        <v>총 :0</v>
      </c>
    </row>
    <row r="26" spans="1:24" x14ac:dyDescent="0.3">
      <c r="E26" s="14" t="s">
        <v>665</v>
      </c>
      <c r="F26" s="14" t="s">
        <v>666</v>
      </c>
      <c r="G26" s="14" t="s">
        <v>667</v>
      </c>
      <c r="H26" s="14" t="s">
        <v>668</v>
      </c>
      <c r="I26" s="14" t="s">
        <v>669</v>
      </c>
      <c r="J26" s="14" t="s">
        <v>670</v>
      </c>
      <c r="K26" s="14" t="s">
        <v>671</v>
      </c>
      <c r="N26" s="14" t="s">
        <v>673</v>
      </c>
      <c r="O26" s="14" t="s">
        <v>674</v>
      </c>
      <c r="P26" s="14" t="s">
        <v>672</v>
      </c>
      <c r="Q26" s="14" t="s">
        <v>665</v>
      </c>
      <c r="R26" s="14" t="s">
        <v>666</v>
      </c>
      <c r="S26" s="14" t="s">
        <v>675</v>
      </c>
      <c r="T26" s="14" t="s">
        <v>676</v>
      </c>
      <c r="U26" s="14" t="s">
        <v>677</v>
      </c>
      <c r="V26" s="14" t="s">
        <v>678</v>
      </c>
      <c r="W26" s="14" t="s">
        <v>679</v>
      </c>
      <c r="X26" s="14" t="s">
        <v>680</v>
      </c>
    </row>
    <row r="27" spans="1:24" x14ac:dyDescent="0.3">
      <c r="D27" s="14" t="s">
        <v>638</v>
      </c>
      <c r="E27" s="14">
        <v>55</v>
      </c>
      <c r="F27" s="14">
        <v>85</v>
      </c>
      <c r="G27" s="14">
        <f>COUNTIF($B$1:$B$10,D27)</f>
        <v>0</v>
      </c>
      <c r="H27" s="14" t="e">
        <f>IF(G27=1,E27,NA())</f>
        <v>#N/A</v>
      </c>
      <c r="I27" s="14" t="e">
        <f>IF(G27=1,F27,NA())</f>
        <v>#N/A</v>
      </c>
      <c r="J27" s="14">
        <f>IF(G27=0,E27,NA())</f>
        <v>55</v>
      </c>
      <c r="K27" s="14">
        <f>IF(G27=0,F27,NA())</f>
        <v>85</v>
      </c>
      <c r="N27" s="14">
        <f ca="1">OFFSET($A$1,ROW()-27,1)</f>
        <v>0</v>
      </c>
      <c r="O27" s="14" t="b">
        <f ca="1">N27&lt;&gt;0</f>
        <v>0</v>
      </c>
      <c r="P27" s="14" t="str">
        <f ca="1">IF(O27,MATCH(N27,$D$27:$D$43),"")</f>
        <v/>
      </c>
      <c r="Q27" s="14" t="e">
        <f ca="1">IF(O27,INDEX($E$27:$E$43,P27),NA())</f>
        <v>#N/A</v>
      </c>
      <c r="R27" s="14" t="e">
        <f ca="1">IF(O27,INDEX($F$27:$F$43,P27),NA())</f>
        <v>#N/A</v>
      </c>
      <c r="S27" s="14" t="e">
        <f ca="1">IF(O27,MATCH(N27,ㅇ!$A$2:$A$18, 0),NA())</f>
        <v>#N/A</v>
      </c>
      <c r="T27" s="14" t="b">
        <f ca="1">O28</f>
        <v>0</v>
      </c>
      <c r="U27" s="14" t="str">
        <f ca="1">IF(T27,OFFSET(ㅇ!$A$1,여행경로!S27,여행경로!S28),"")</f>
        <v/>
      </c>
      <c r="V27" s="14" t="str">
        <f ca="1">IF(T27,OFFSET(ㅇ!$A$20,여행경로!S27,여행경로!S28)+OFFSET(ㅇ!$A$39,여행경로!S27,여행경로!S28), "")</f>
        <v/>
      </c>
      <c r="W27" s="14" t="str">
        <f ca="1">U27</f>
        <v/>
      </c>
      <c r="X27" s="14" t="str">
        <f ca="1">TEXT(V27,"#,##0")</f>
        <v/>
      </c>
    </row>
    <row r="28" spans="1:24" x14ac:dyDescent="0.3">
      <c r="D28" s="14" t="s">
        <v>639</v>
      </c>
      <c r="E28" s="14">
        <v>42</v>
      </c>
      <c r="F28" s="14">
        <v>78</v>
      </c>
      <c r="G28" s="14">
        <f>COUNTIF($B$1:$B$10,D28)</f>
        <v>0</v>
      </c>
      <c r="H28" s="14" t="e">
        <f t="shared" ref="H28:H43" si="0">IF(G28=1,E28,NA())</f>
        <v>#N/A</v>
      </c>
      <c r="I28" s="14" t="e">
        <f t="shared" ref="I28:I43" si="1">IF(G28=1,F28,NA())</f>
        <v>#N/A</v>
      </c>
      <c r="J28" s="14">
        <f t="shared" ref="J28:J43" si="2">IF(G28=0,E28,NA())</f>
        <v>42</v>
      </c>
      <c r="K28" s="14">
        <f t="shared" ref="K28:K43" si="3">IF(G28=0,F28,NA())</f>
        <v>78</v>
      </c>
      <c r="N28" s="14">
        <f t="shared" ref="N28:N34" ca="1" si="4">OFFSET($A$1,ROW()-27,1)</f>
        <v>0</v>
      </c>
      <c r="O28" s="14" t="b">
        <f t="shared" ref="O28:O34" ca="1" si="5">N28&lt;&gt;0</f>
        <v>0</v>
      </c>
      <c r="P28" s="14" t="str">
        <f t="shared" ref="P28:P34" ca="1" si="6">IF(O28,MATCH(N28,$D$27:$D$43),"")</f>
        <v/>
      </c>
      <c r="Q28" s="14" t="e">
        <f t="shared" ref="Q28:Q34" ca="1" si="7">IF(O28,INDEX($E$27:$E$43,P28),NA())</f>
        <v>#N/A</v>
      </c>
      <c r="R28" s="14" t="e">
        <f t="shared" ref="R28:R34" ca="1" si="8">IF(O28,INDEX($F$27:$F$43,P28),NA())</f>
        <v>#N/A</v>
      </c>
      <c r="S28" s="14" t="e">
        <f ca="1">IF(O28,MATCH(N28,ㅇ!$A$2:$A$18, 0),NA())</f>
        <v>#N/A</v>
      </c>
      <c r="T28" s="14" t="b">
        <f t="shared" ref="T28:T33" ca="1" si="9">O29</f>
        <v>0</v>
      </c>
      <c r="U28" s="14" t="str">
        <f ca="1">IF(T28,OFFSET(ㅇ!$A$1,여행경로!S28,여행경로!S29),"")</f>
        <v/>
      </c>
      <c r="V28" s="14" t="str">
        <f ca="1">IF(T28,OFFSET(ㅇ!$A$20,여행경로!S28,여행경로!S29)+OFFSET(ㅇ!$A$39,여행경로!S28,여행경로!S29), "")</f>
        <v/>
      </c>
      <c r="W28" s="14" t="str">
        <f ca="1">W27 &amp; IF(T28," + " &amp;U28,"")</f>
        <v/>
      </c>
      <c r="X28" s="14" t="str">
        <f ca="1">X27&amp;IF(T28," + "&amp;TEXT(V28,"#,##0"),"")</f>
        <v/>
      </c>
    </row>
    <row r="29" spans="1:24" x14ac:dyDescent="0.3">
      <c r="D29" s="14" t="s">
        <v>640</v>
      </c>
      <c r="E29" s="14">
        <v>50</v>
      </c>
      <c r="F29" s="14">
        <v>42</v>
      </c>
      <c r="G29" s="14">
        <f>COUNTIF($B$1:$B$10,D29)</f>
        <v>0</v>
      </c>
      <c r="H29" s="14" t="e">
        <f t="shared" si="0"/>
        <v>#N/A</v>
      </c>
      <c r="I29" s="14" t="e">
        <f t="shared" si="1"/>
        <v>#N/A</v>
      </c>
      <c r="J29" s="14">
        <f t="shared" si="2"/>
        <v>50</v>
      </c>
      <c r="K29" s="14">
        <f t="shared" si="3"/>
        <v>42</v>
      </c>
      <c r="N29" s="14">
        <f t="shared" ca="1" si="4"/>
        <v>0</v>
      </c>
      <c r="O29" s="14" t="b">
        <f t="shared" ca="1" si="5"/>
        <v>0</v>
      </c>
      <c r="P29" s="14" t="str">
        <f t="shared" ca="1" si="6"/>
        <v/>
      </c>
      <c r="Q29" s="14" t="e">
        <f t="shared" ca="1" si="7"/>
        <v>#N/A</v>
      </c>
      <c r="R29" s="14" t="e">
        <f t="shared" ca="1" si="8"/>
        <v>#N/A</v>
      </c>
      <c r="S29" s="14" t="e">
        <f ca="1">IF(O29,MATCH(N29,ㅇ!$A$2:$A$18, 0),NA())</f>
        <v>#N/A</v>
      </c>
      <c r="T29" s="14" t="b">
        <f t="shared" ca="1" si="9"/>
        <v>0</v>
      </c>
      <c r="U29" s="14" t="str">
        <f ca="1">IF(T29,OFFSET(ㅇ!$A$1,여행경로!S29,여행경로!S30),"")</f>
        <v/>
      </c>
      <c r="V29" s="14" t="str">
        <f ca="1">IF(T29,OFFSET(ㅇ!$A$20,여행경로!S29,여행경로!S30)+OFFSET(ㅇ!$A$39,여행경로!S29,여행경로!S30), "")</f>
        <v/>
      </c>
      <c r="W29" s="14" t="str">
        <f t="shared" ref="W29:W33" ca="1" si="10">W28 &amp; IF(T29," + " &amp;U29,"")</f>
        <v/>
      </c>
      <c r="X29" s="14" t="str">
        <f t="shared" ref="X29:X33" ca="1" si="11">X28&amp;IF(T29," + "&amp;TEXT(V29,"#,##0"),"")</f>
        <v/>
      </c>
    </row>
    <row r="30" spans="1:24" x14ac:dyDescent="0.3">
      <c r="D30" s="14" t="s">
        <v>641</v>
      </c>
      <c r="E30" s="14">
        <v>65</v>
      </c>
      <c r="F30" s="14">
        <v>65</v>
      </c>
      <c r="G30" s="14">
        <f>COUNTIF($B$1:$B$10,D30)</f>
        <v>0</v>
      </c>
      <c r="H30" s="14" t="e">
        <f t="shared" si="0"/>
        <v>#N/A</v>
      </c>
      <c r="I30" s="14" t="e">
        <f t="shared" si="1"/>
        <v>#N/A</v>
      </c>
      <c r="J30" s="14">
        <f t="shared" si="2"/>
        <v>65</v>
      </c>
      <c r="K30" s="14">
        <f t="shared" si="3"/>
        <v>65</v>
      </c>
      <c r="N30" s="14">
        <f t="shared" ca="1" si="4"/>
        <v>0</v>
      </c>
      <c r="O30" s="14" t="b">
        <f t="shared" ca="1" si="5"/>
        <v>0</v>
      </c>
      <c r="P30" s="14" t="str">
        <f t="shared" ca="1" si="6"/>
        <v/>
      </c>
      <c r="Q30" s="14" t="e">
        <f t="shared" ca="1" si="7"/>
        <v>#N/A</v>
      </c>
      <c r="R30" s="14" t="e">
        <f t="shared" ca="1" si="8"/>
        <v>#N/A</v>
      </c>
      <c r="S30" s="14" t="e">
        <f ca="1">IF(O30,MATCH(N30,ㅇ!$A$2:$A$18, 0),NA())</f>
        <v>#N/A</v>
      </c>
      <c r="T30" s="14" t="b">
        <f t="shared" ca="1" si="9"/>
        <v>0</v>
      </c>
      <c r="U30" s="14" t="str">
        <f ca="1">IF(T30,OFFSET(ㅇ!$A$1,여행경로!S30,여행경로!S31),"")</f>
        <v/>
      </c>
      <c r="V30" s="14" t="str">
        <f ca="1">IF(T30,OFFSET(ㅇ!$A$20,여행경로!S30,여행경로!S31)+OFFSET(ㅇ!$A$39,여행경로!S30,여행경로!S31), "")</f>
        <v/>
      </c>
      <c r="W30" s="14" t="str">
        <f t="shared" ca="1" si="10"/>
        <v/>
      </c>
      <c r="X30" s="14" t="str">
        <f t="shared" ca="1" si="11"/>
        <v/>
      </c>
    </row>
    <row r="31" spans="1:24" x14ac:dyDescent="0.3">
      <c r="D31" s="14" t="s">
        <v>642</v>
      </c>
      <c r="E31" s="14">
        <v>35</v>
      </c>
      <c r="F31" s="14">
        <v>42</v>
      </c>
      <c r="G31" s="14">
        <f>COUNTIF($B$1:$B$10,D31)</f>
        <v>0</v>
      </c>
      <c r="H31" s="14" t="e">
        <f t="shared" si="0"/>
        <v>#N/A</v>
      </c>
      <c r="I31" s="14" t="e">
        <f t="shared" si="1"/>
        <v>#N/A</v>
      </c>
      <c r="J31" s="14">
        <f t="shared" si="2"/>
        <v>35</v>
      </c>
      <c r="K31" s="14">
        <f t="shared" si="3"/>
        <v>42</v>
      </c>
      <c r="N31" s="14">
        <f t="shared" ca="1" si="4"/>
        <v>0</v>
      </c>
      <c r="O31" s="14" t="b">
        <f t="shared" ca="1" si="5"/>
        <v>0</v>
      </c>
      <c r="P31" s="14" t="str">
        <f t="shared" ca="1" si="6"/>
        <v/>
      </c>
      <c r="Q31" s="14" t="e">
        <f t="shared" ca="1" si="7"/>
        <v>#N/A</v>
      </c>
      <c r="R31" s="14" t="e">
        <f t="shared" ca="1" si="8"/>
        <v>#N/A</v>
      </c>
      <c r="S31" s="14" t="e">
        <f ca="1">IF(O31,MATCH(N31,ㅇ!$A$2:$A$18, 0),NA())</f>
        <v>#N/A</v>
      </c>
      <c r="T31" s="14" t="b">
        <f t="shared" ca="1" si="9"/>
        <v>0</v>
      </c>
      <c r="U31" s="14" t="str">
        <f ca="1">IF(T31,OFFSET(ㅇ!$A$1,여행경로!S31,여행경로!S32),"")</f>
        <v/>
      </c>
      <c r="V31" s="14" t="str">
        <f ca="1">IF(T31,OFFSET(ㅇ!$A$20,여행경로!S31,여행경로!S32)+OFFSET(ㅇ!$A$39,여행경로!S31,여행경로!S32), "")</f>
        <v/>
      </c>
      <c r="W31" s="14" t="str">
        <f t="shared" ca="1" si="10"/>
        <v/>
      </c>
      <c r="X31" s="14" t="str">
        <f t="shared" ca="1" si="11"/>
        <v/>
      </c>
    </row>
    <row r="32" spans="1:24" x14ac:dyDescent="0.3">
      <c r="D32" s="14" t="s">
        <v>643</v>
      </c>
      <c r="E32" s="14">
        <v>56</v>
      </c>
      <c r="F32" s="14">
        <v>52</v>
      </c>
      <c r="G32" s="14">
        <f>COUNTIF($B$1:$B$10,D32)</f>
        <v>0</v>
      </c>
      <c r="H32" s="14" t="e">
        <f t="shared" si="0"/>
        <v>#N/A</v>
      </c>
      <c r="I32" s="14" t="e">
        <f t="shared" si="1"/>
        <v>#N/A</v>
      </c>
      <c r="J32" s="14">
        <f t="shared" si="2"/>
        <v>56</v>
      </c>
      <c r="K32" s="14">
        <f t="shared" si="3"/>
        <v>52</v>
      </c>
      <c r="N32" s="14">
        <f t="shared" ca="1" si="4"/>
        <v>0</v>
      </c>
      <c r="O32" s="14" t="b">
        <f t="shared" ca="1" si="5"/>
        <v>0</v>
      </c>
      <c r="P32" s="14" t="str">
        <f t="shared" ca="1" si="6"/>
        <v/>
      </c>
      <c r="Q32" s="14" t="e">
        <f t="shared" ca="1" si="7"/>
        <v>#N/A</v>
      </c>
      <c r="R32" s="14" t="e">
        <f t="shared" ca="1" si="8"/>
        <v>#N/A</v>
      </c>
      <c r="S32" s="14" t="e">
        <f ca="1">IF(O32,MATCH(N32,ㅇ!$A$2:$A$18, 0),NA())</f>
        <v>#N/A</v>
      </c>
      <c r="T32" s="14" t="b">
        <f t="shared" ca="1" si="9"/>
        <v>0</v>
      </c>
      <c r="U32" s="14" t="str">
        <f ca="1">IF(T32,OFFSET(ㅇ!$A$1,여행경로!S32,여행경로!S33),"")</f>
        <v/>
      </c>
      <c r="V32" s="14" t="str">
        <f ca="1">IF(T32,OFFSET(ㅇ!$A$20,여행경로!S32,여행경로!S33)+OFFSET(ㅇ!$A$39,여행경로!S32,여행경로!S33), "")</f>
        <v/>
      </c>
      <c r="W32" s="14" t="str">
        <f t="shared" ca="1" si="10"/>
        <v/>
      </c>
      <c r="X32" s="14" t="str">
        <f t="shared" ca="1" si="11"/>
        <v/>
      </c>
    </row>
    <row r="33" spans="4:24" x14ac:dyDescent="0.3">
      <c r="D33" s="14" t="s">
        <v>644</v>
      </c>
      <c r="E33" s="14">
        <v>42</v>
      </c>
      <c r="F33" s="14">
        <v>63</v>
      </c>
      <c r="G33" s="14">
        <f>COUNTIF($B$1:$B$10,D33)</f>
        <v>0</v>
      </c>
      <c r="H33" s="14" t="e">
        <f t="shared" si="0"/>
        <v>#N/A</v>
      </c>
      <c r="I33" s="14" t="e">
        <f t="shared" si="1"/>
        <v>#N/A</v>
      </c>
      <c r="J33" s="14">
        <f t="shared" si="2"/>
        <v>42</v>
      </c>
      <c r="K33" s="14">
        <f t="shared" si="3"/>
        <v>63</v>
      </c>
      <c r="N33" s="14">
        <f t="shared" ca="1" si="4"/>
        <v>0</v>
      </c>
      <c r="O33" s="14" t="b">
        <f t="shared" ca="1" si="5"/>
        <v>0</v>
      </c>
      <c r="P33" s="14" t="str">
        <f t="shared" ca="1" si="6"/>
        <v/>
      </c>
      <c r="Q33" s="14" t="e">
        <f t="shared" ca="1" si="7"/>
        <v>#N/A</v>
      </c>
      <c r="R33" s="14" t="e">
        <f t="shared" ca="1" si="8"/>
        <v>#N/A</v>
      </c>
      <c r="S33" s="14" t="e">
        <f ca="1">IF(O33,MATCH(N33,ㅇ!$A$2:$A$18, 0),NA())</f>
        <v>#N/A</v>
      </c>
      <c r="T33" s="14" t="b">
        <f t="shared" ca="1" si="9"/>
        <v>0</v>
      </c>
      <c r="U33" s="14" t="str">
        <f ca="1">IF(T33,OFFSET(ㅇ!$A$1,여행경로!S33,여행경로!S34),"")</f>
        <v/>
      </c>
      <c r="V33" s="14" t="str">
        <f ca="1">IF(T33,OFFSET(ㅇ!$A$20,여행경로!S33,여행경로!S34)+OFFSET(ㅇ!$A$39,여행경로!S33,여행경로!S34), "")</f>
        <v/>
      </c>
      <c r="W33" s="14" t="str">
        <f t="shared" ca="1" si="10"/>
        <v/>
      </c>
      <c r="X33" s="14" t="str">
        <f t="shared" ca="1" si="11"/>
        <v/>
      </c>
    </row>
    <row r="34" spans="4:24" x14ac:dyDescent="0.3">
      <c r="D34" s="14" t="s">
        <v>645</v>
      </c>
      <c r="E34" s="14">
        <v>63</v>
      </c>
      <c r="F34" s="14">
        <v>42</v>
      </c>
      <c r="G34" s="14">
        <f>COUNTIF($B$1:$B$10,D34)</f>
        <v>0</v>
      </c>
      <c r="H34" s="14" t="e">
        <f t="shared" si="0"/>
        <v>#N/A</v>
      </c>
      <c r="I34" s="14" t="e">
        <f t="shared" si="1"/>
        <v>#N/A</v>
      </c>
      <c r="J34" s="14">
        <f t="shared" si="2"/>
        <v>63</v>
      </c>
      <c r="K34" s="14">
        <f t="shared" si="3"/>
        <v>42</v>
      </c>
      <c r="N34" s="14">
        <f t="shared" ca="1" si="4"/>
        <v>0</v>
      </c>
      <c r="O34" s="14" t="b">
        <f t="shared" ca="1" si="5"/>
        <v>0</v>
      </c>
      <c r="P34" s="14" t="str">
        <f t="shared" ca="1" si="6"/>
        <v/>
      </c>
      <c r="Q34" s="14" t="e">
        <f t="shared" ca="1" si="7"/>
        <v>#N/A</v>
      </c>
      <c r="R34" s="14" t="e">
        <f t="shared" ca="1" si="8"/>
        <v>#N/A</v>
      </c>
      <c r="S34" s="14" t="e">
        <f ca="1">IF(O34,MATCH(N34,ㅇ!$A$2:$A$18, 0),NA())</f>
        <v>#N/A</v>
      </c>
    </row>
    <row r="35" spans="4:24" x14ac:dyDescent="0.3">
      <c r="D35" s="14" t="s">
        <v>646</v>
      </c>
      <c r="E35" s="14">
        <v>37</v>
      </c>
      <c r="F35" s="14">
        <v>84</v>
      </c>
      <c r="G35" s="14">
        <f>COUNTIF($B$1:$B$10,D35)</f>
        <v>0</v>
      </c>
      <c r="H35" s="14" t="e">
        <f t="shared" si="0"/>
        <v>#N/A</v>
      </c>
      <c r="I35" s="14" t="e">
        <f t="shared" si="1"/>
        <v>#N/A</v>
      </c>
      <c r="J35" s="14">
        <f t="shared" si="2"/>
        <v>37</v>
      </c>
      <c r="K35" s="14">
        <f t="shared" si="3"/>
        <v>84</v>
      </c>
    </row>
    <row r="36" spans="4:24" x14ac:dyDescent="0.3">
      <c r="D36" s="14" t="s">
        <v>647</v>
      </c>
      <c r="E36" s="14">
        <v>41</v>
      </c>
      <c r="F36" s="14">
        <v>67</v>
      </c>
      <c r="G36" s="14">
        <f>COUNTIF($B$1:$B$10,D36)</f>
        <v>0</v>
      </c>
      <c r="H36" s="14" t="e">
        <f t="shared" si="0"/>
        <v>#N/A</v>
      </c>
      <c r="I36" s="14" t="e">
        <f t="shared" si="1"/>
        <v>#N/A</v>
      </c>
      <c r="J36" s="14">
        <f t="shared" si="2"/>
        <v>41</v>
      </c>
      <c r="K36" s="14">
        <f t="shared" si="3"/>
        <v>67</v>
      </c>
    </row>
    <row r="37" spans="4:24" x14ac:dyDescent="0.3">
      <c r="D37" s="14" t="s">
        <v>648</v>
      </c>
      <c r="E37" s="14">
        <v>67</v>
      </c>
      <c r="F37" s="14">
        <v>47</v>
      </c>
      <c r="G37" s="14">
        <f>COUNTIF($B$1:$B$10,D37)</f>
        <v>0</v>
      </c>
      <c r="H37" s="14" t="e">
        <f t="shared" si="0"/>
        <v>#N/A</v>
      </c>
      <c r="I37" s="14" t="e">
        <f t="shared" si="1"/>
        <v>#N/A</v>
      </c>
      <c r="J37" s="14">
        <f t="shared" si="2"/>
        <v>67</v>
      </c>
      <c r="K37" s="14">
        <f t="shared" si="3"/>
        <v>47</v>
      </c>
    </row>
    <row r="38" spans="4:24" x14ac:dyDescent="0.3">
      <c r="D38" s="14" t="s">
        <v>649</v>
      </c>
      <c r="E38" s="14">
        <v>34</v>
      </c>
      <c r="F38" s="14">
        <v>80</v>
      </c>
      <c r="G38" s="14">
        <f>COUNTIF($B$1:$B$10,D38)</f>
        <v>0</v>
      </c>
      <c r="H38" s="14" t="e">
        <f t="shared" si="0"/>
        <v>#N/A</v>
      </c>
      <c r="I38" s="14" t="e">
        <f t="shared" si="1"/>
        <v>#N/A</v>
      </c>
      <c r="J38" s="14">
        <f t="shared" si="2"/>
        <v>34</v>
      </c>
      <c r="K38" s="14">
        <f t="shared" si="3"/>
        <v>80</v>
      </c>
    </row>
    <row r="39" spans="4:24" x14ac:dyDescent="0.3">
      <c r="D39" s="14" t="s">
        <v>650</v>
      </c>
      <c r="E39" s="14">
        <v>33</v>
      </c>
      <c r="F39" s="14">
        <v>30</v>
      </c>
      <c r="G39" s="14">
        <f>COUNTIF($B$1:$B$10,D39)</f>
        <v>0</v>
      </c>
      <c r="H39" s="14" t="e">
        <f t="shared" si="0"/>
        <v>#N/A</v>
      </c>
      <c r="I39" s="14" t="e">
        <f t="shared" si="1"/>
        <v>#N/A</v>
      </c>
      <c r="J39" s="14">
        <f t="shared" si="2"/>
        <v>33</v>
      </c>
      <c r="K39" s="14">
        <f t="shared" si="3"/>
        <v>30</v>
      </c>
    </row>
    <row r="40" spans="4:24" x14ac:dyDescent="0.3">
      <c r="D40" s="14" t="s">
        <v>651</v>
      </c>
      <c r="E40" s="14">
        <v>40</v>
      </c>
      <c r="F40" s="14">
        <v>50</v>
      </c>
      <c r="G40" s="14">
        <f>COUNTIF($B$1:$B$10,D40)</f>
        <v>0</v>
      </c>
      <c r="H40" s="14" t="e">
        <f t="shared" si="0"/>
        <v>#N/A</v>
      </c>
      <c r="I40" s="14" t="e">
        <f t="shared" si="1"/>
        <v>#N/A</v>
      </c>
      <c r="J40" s="14">
        <f t="shared" si="2"/>
        <v>40</v>
      </c>
      <c r="K40" s="14">
        <f t="shared" si="3"/>
        <v>50</v>
      </c>
    </row>
    <row r="41" spans="4:24" x14ac:dyDescent="0.3">
      <c r="D41" s="14" t="s">
        <v>652</v>
      </c>
      <c r="E41" s="14">
        <v>30</v>
      </c>
      <c r="F41" s="14">
        <v>10</v>
      </c>
      <c r="G41" s="14">
        <f>COUNTIF($B$1:$B$10,D41)</f>
        <v>0</v>
      </c>
      <c r="H41" s="14" t="e">
        <f t="shared" si="0"/>
        <v>#N/A</v>
      </c>
      <c r="I41" s="14" t="e">
        <f t="shared" si="1"/>
        <v>#N/A</v>
      </c>
      <c r="J41" s="14">
        <f t="shared" si="2"/>
        <v>30</v>
      </c>
      <c r="K41" s="14">
        <f t="shared" si="3"/>
        <v>10</v>
      </c>
    </row>
    <row r="42" spans="4:24" x14ac:dyDescent="0.3">
      <c r="D42" s="14" t="s">
        <v>653</v>
      </c>
      <c r="E42" s="14">
        <v>32</v>
      </c>
      <c r="F42" s="14">
        <v>65</v>
      </c>
      <c r="G42" s="14">
        <f>COUNTIF($B$1:$B$10,D42)</f>
        <v>0</v>
      </c>
      <c r="H42" s="14" t="e">
        <f t="shared" si="0"/>
        <v>#N/A</v>
      </c>
      <c r="I42" s="14" t="e">
        <f t="shared" si="1"/>
        <v>#N/A</v>
      </c>
      <c r="J42" s="14">
        <f t="shared" si="2"/>
        <v>32</v>
      </c>
      <c r="K42" s="14">
        <f t="shared" si="3"/>
        <v>65</v>
      </c>
    </row>
    <row r="43" spans="4:24" x14ac:dyDescent="0.3">
      <c r="D43" s="14" t="s">
        <v>654</v>
      </c>
      <c r="E43" s="14">
        <v>45</v>
      </c>
      <c r="F43" s="14">
        <v>64</v>
      </c>
      <c r="G43" s="14">
        <f>COUNTIF($B$1:$B$10,D43)</f>
        <v>0</v>
      </c>
      <c r="H43" s="14" t="e">
        <f t="shared" si="0"/>
        <v>#N/A</v>
      </c>
      <c r="I43" s="14" t="e">
        <f t="shared" si="1"/>
        <v>#N/A</v>
      </c>
      <c r="J43" s="14">
        <f t="shared" si="2"/>
        <v>45</v>
      </c>
      <c r="K43" s="14">
        <f t="shared" si="3"/>
        <v>64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16</xdr:col>
                <xdr:colOff>19050</xdr:colOff>
                <xdr:row>0</xdr:row>
                <xdr:rowOff>104775</xdr:rowOff>
              </from>
              <to>
                <xdr:col>18</xdr:col>
                <xdr:colOff>276225</xdr:colOff>
                <xdr:row>2</xdr:row>
                <xdr:rowOff>171450</xdr:rowOff>
              </to>
            </anchor>
          </controlPr>
        </control>
      </mc:Choice>
      <mc:Fallback>
        <control shapeId="7169" r:id="rId3" name="CommandButton1"/>
      </mc:Fallback>
    </mc:AlternateContent>
    <mc:AlternateContent xmlns:mc="http://schemas.openxmlformats.org/markup-compatibility/2006">
      <mc:Choice Requires="x14">
        <control shapeId="7174" r:id="rId5" name="CommandButton2">
          <controlPr defaultSize="0" autoLine="0" r:id="rId6">
            <anchor moveWithCells="1">
              <from>
                <xdr:col>16</xdr:col>
                <xdr:colOff>19050</xdr:colOff>
                <xdr:row>3</xdr:row>
                <xdr:rowOff>9525</xdr:rowOff>
              </from>
              <to>
                <xdr:col>18</xdr:col>
                <xdr:colOff>276225</xdr:colOff>
                <xdr:row>5</xdr:row>
                <xdr:rowOff>76200</xdr:rowOff>
              </to>
            </anchor>
          </controlPr>
        </control>
      </mc:Choice>
      <mc:Fallback>
        <control shapeId="7174" r:id="rId5" name="CommandButton2"/>
      </mc:Fallback>
    </mc:AlternateContent>
    <mc:AlternateContent xmlns:mc="http://schemas.openxmlformats.org/markup-compatibility/2006">
      <mc:Choice Requires="x14">
        <control shapeId="7172" r:id="rId7" name="List Box 4">
          <controlPr defaultSize="0" autoLine="0" autoPict="0">
            <anchor>
              <from>
                <xdr:col>0</xdr:col>
                <xdr:colOff>304800</xdr:colOff>
                <xdr:row>0</xdr:row>
                <xdr:rowOff>152400</xdr:rowOff>
              </from>
              <to>
                <xdr:col>1</xdr:col>
                <xdr:colOff>314325</xdr:colOff>
                <xdr:row>15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73" r:id="rId8" name="List Box 5">
          <controlPr defaultSize="0" autoLine="0" autoPict="0">
            <anchor>
              <from>
                <xdr:col>2</xdr:col>
                <xdr:colOff>209550</xdr:colOff>
                <xdr:row>0</xdr:row>
                <xdr:rowOff>161925</xdr:rowOff>
              </from>
              <to>
                <xdr:col>3</xdr:col>
                <xdr:colOff>219075</xdr:colOff>
                <xdr:row>15</xdr:row>
                <xdr:rowOff>57150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M290"/>
  <sheetViews>
    <sheetView showGridLines="0" workbookViewId="0">
      <selection sqref="A1:K1048576"/>
    </sheetView>
  </sheetViews>
  <sheetFormatPr defaultRowHeight="16.5" x14ac:dyDescent="0.3"/>
  <cols>
    <col min="1" max="3" width="9" style="14"/>
    <col min="4" max="4" width="11.125" style="15" bestFit="1" customWidth="1"/>
    <col min="5" max="16384" width="9" style="14"/>
  </cols>
  <sheetData>
    <row r="1" spans="1:13" x14ac:dyDescent="0.3">
      <c r="A1" s="14" t="s">
        <v>0</v>
      </c>
      <c r="B1" s="14" t="s">
        <v>429</v>
      </c>
      <c r="C1" s="14" t="s">
        <v>430</v>
      </c>
      <c r="D1" s="14" t="s">
        <v>431</v>
      </c>
      <c r="E1" s="14" t="s">
        <v>432</v>
      </c>
      <c r="F1" s="14" t="s">
        <v>433</v>
      </c>
      <c r="G1" s="14" t="s">
        <v>434</v>
      </c>
      <c r="H1" s="14" t="s">
        <v>625</v>
      </c>
      <c r="I1" s="14" t="s">
        <v>627</v>
      </c>
      <c r="J1" s="14" t="s">
        <v>629</v>
      </c>
      <c r="K1" s="14" t="s">
        <v>631</v>
      </c>
      <c r="L1" s="14" t="s">
        <v>655</v>
      </c>
      <c r="M1" s="14" t="s">
        <v>656</v>
      </c>
    </row>
    <row r="2" spans="1:13" x14ac:dyDescent="0.3">
      <c r="A2" s="14">
        <v>1</v>
      </c>
      <c r="B2" s="14">
        <v>6</v>
      </c>
      <c r="C2" s="14">
        <v>43</v>
      </c>
      <c r="D2" s="15">
        <v>44562</v>
      </c>
      <c r="E2" s="14">
        <v>3</v>
      </c>
      <c r="F2" s="14">
        <v>2</v>
      </c>
      <c r="G2" s="14">
        <v>1</v>
      </c>
      <c r="H2" s="14">
        <v>64800</v>
      </c>
      <c r="I2" s="14">
        <v>34560</v>
      </c>
      <c r="J2" s="14">
        <v>12960</v>
      </c>
      <c r="K2" s="14">
        <v>112320</v>
      </c>
      <c r="L2" s="14" t="str">
        <f ca="1">VLOOKUP(B2, 회원, 4, 0)</f>
        <v>김성숙</v>
      </c>
      <c r="M2" s="14" t="str">
        <f ca="1">VLOOKUP(C2, 패키지, 3, 0)</f>
        <v>인천 선샤인 패키지</v>
      </c>
    </row>
    <row r="3" spans="1:13" x14ac:dyDescent="0.3">
      <c r="A3" s="14">
        <v>2</v>
      </c>
      <c r="B3" s="14">
        <v>13</v>
      </c>
      <c r="C3" s="14">
        <v>32</v>
      </c>
      <c r="D3" s="15">
        <v>44562</v>
      </c>
      <c r="E3" s="14">
        <v>1</v>
      </c>
      <c r="F3" s="14">
        <v>3</v>
      </c>
      <c r="G3" s="14">
        <v>3</v>
      </c>
      <c r="H3" s="14">
        <v>25500</v>
      </c>
      <c r="I3" s="14">
        <v>61200</v>
      </c>
      <c r="J3" s="14">
        <v>45900</v>
      </c>
      <c r="K3" s="14">
        <v>132600</v>
      </c>
      <c r="L3" s="14" t="str">
        <f ca="1">VLOOKUP(B3, 회원, 4, 0)</f>
        <v>박지성</v>
      </c>
      <c r="M3" s="14" t="str">
        <f ca="1">VLOOKUP(C3, 패키지, 3, 0)</f>
        <v>서울 반가워 패키지</v>
      </c>
    </row>
    <row r="4" spans="1:13" x14ac:dyDescent="0.3">
      <c r="A4" s="14">
        <v>3</v>
      </c>
      <c r="B4" s="14">
        <v>10</v>
      </c>
      <c r="C4" s="14">
        <v>12</v>
      </c>
      <c r="D4" s="15">
        <v>44563</v>
      </c>
      <c r="E4" s="14">
        <v>5</v>
      </c>
      <c r="F4" s="14">
        <v>2</v>
      </c>
      <c r="G4" s="14">
        <v>1</v>
      </c>
      <c r="H4" s="14">
        <v>67500</v>
      </c>
      <c r="I4" s="14">
        <v>21600</v>
      </c>
      <c r="J4" s="14">
        <v>8100</v>
      </c>
      <c r="K4" s="14">
        <v>97200</v>
      </c>
      <c r="L4" s="14" t="str">
        <f ca="1">VLOOKUP(B4, 회원, 4, 0)</f>
        <v>나종대</v>
      </c>
      <c r="M4" s="14" t="str">
        <f ca="1">VLOOKUP(C4, 패키지, 3, 0)</f>
        <v>경남 좋은 패키지</v>
      </c>
    </row>
    <row r="5" spans="1:13" x14ac:dyDescent="0.3">
      <c r="A5" s="14">
        <v>4</v>
      </c>
      <c r="B5" s="14">
        <v>6</v>
      </c>
      <c r="C5" s="14">
        <v>35</v>
      </c>
      <c r="D5" s="15">
        <v>44563</v>
      </c>
      <c r="E5" s="14">
        <v>2</v>
      </c>
      <c r="F5" s="14">
        <v>5</v>
      </c>
      <c r="G5" s="14">
        <v>5</v>
      </c>
      <c r="H5" s="14">
        <v>55800</v>
      </c>
      <c r="I5" s="14">
        <v>111600</v>
      </c>
      <c r="J5" s="14">
        <v>83700</v>
      </c>
      <c r="K5" s="14">
        <v>251100</v>
      </c>
      <c r="L5" s="14" t="str">
        <f ca="1">VLOOKUP(B5, 회원, 4, 0)</f>
        <v>김성숙</v>
      </c>
      <c r="M5" s="14" t="str">
        <f ca="1">VLOOKUP(C5, 패키지, 3, 0)</f>
        <v>서울 선샤인 패키지</v>
      </c>
    </row>
    <row r="6" spans="1:13" x14ac:dyDescent="0.3">
      <c r="A6" s="14">
        <v>5</v>
      </c>
      <c r="B6" s="14">
        <v>12</v>
      </c>
      <c r="C6" s="14">
        <v>11</v>
      </c>
      <c r="D6" s="15">
        <v>44564</v>
      </c>
      <c r="E6" s="14">
        <v>5</v>
      </c>
      <c r="F6" s="14">
        <v>0</v>
      </c>
      <c r="G6" s="14">
        <v>3</v>
      </c>
      <c r="H6" s="14">
        <v>108000</v>
      </c>
      <c r="I6" s="14">
        <v>0</v>
      </c>
      <c r="J6" s="14">
        <v>38880</v>
      </c>
      <c r="K6" s="14">
        <v>146880</v>
      </c>
      <c r="L6" s="14" t="str">
        <f ca="1">VLOOKUP(B6, 회원, 4, 0)</f>
        <v>박아름</v>
      </c>
      <c r="M6" s="14" t="str">
        <f ca="1">VLOOKUP(C6, 패키지, 3, 0)</f>
        <v>경남 할인 패키지</v>
      </c>
    </row>
    <row r="7" spans="1:13" x14ac:dyDescent="0.3">
      <c r="A7" s="14">
        <v>6</v>
      </c>
      <c r="B7" s="14">
        <v>2</v>
      </c>
      <c r="C7" s="14">
        <v>41</v>
      </c>
      <c r="D7" s="15">
        <v>44565</v>
      </c>
      <c r="E7" s="14">
        <v>2</v>
      </c>
      <c r="F7" s="14">
        <v>4</v>
      </c>
      <c r="G7" s="14">
        <v>4</v>
      </c>
      <c r="H7" s="14">
        <v>67200</v>
      </c>
      <c r="I7" s="14">
        <v>107520</v>
      </c>
      <c r="J7" s="14">
        <v>80640</v>
      </c>
      <c r="K7" s="14">
        <v>255360</v>
      </c>
      <c r="L7" s="14" t="str">
        <f ca="1">VLOOKUP(B7, 회원, 4, 0)</f>
        <v>강딸기</v>
      </c>
      <c r="M7" s="14" t="str">
        <f ca="1">VLOOKUP(C7, 패키지, 3, 0)</f>
        <v>울산 추억 패키지</v>
      </c>
    </row>
    <row r="8" spans="1:13" x14ac:dyDescent="0.3">
      <c r="A8" s="14">
        <v>7</v>
      </c>
      <c r="B8" s="14">
        <v>25</v>
      </c>
      <c r="C8" s="14">
        <v>53</v>
      </c>
      <c r="D8" s="15">
        <v>44565</v>
      </c>
      <c r="E8" s="14">
        <v>1</v>
      </c>
      <c r="F8" s="14">
        <v>2</v>
      </c>
      <c r="G8" s="14">
        <v>1</v>
      </c>
      <c r="H8" s="14">
        <v>18400</v>
      </c>
      <c r="I8" s="14">
        <v>29440</v>
      </c>
      <c r="J8" s="14">
        <v>11040</v>
      </c>
      <c r="K8" s="14">
        <v>58880</v>
      </c>
      <c r="L8" s="14" t="str">
        <f ca="1">VLOOKUP(B8, 회원, 4, 0)</f>
        <v>홍길동</v>
      </c>
      <c r="M8" s="14" t="str">
        <f ca="1">VLOOKUP(C8, 패키지, 3, 0)</f>
        <v>제주 룰루랄라 패키지</v>
      </c>
    </row>
    <row r="9" spans="1:13" x14ac:dyDescent="0.3">
      <c r="A9" s="14">
        <v>8</v>
      </c>
      <c r="B9" s="14">
        <v>1</v>
      </c>
      <c r="C9" s="14">
        <v>23</v>
      </c>
      <c r="D9" s="15">
        <v>44565</v>
      </c>
      <c r="E9" s="14">
        <v>2</v>
      </c>
      <c r="F9" s="14">
        <v>5</v>
      </c>
      <c r="G9" s="14">
        <v>1</v>
      </c>
      <c r="H9" s="14">
        <v>12600</v>
      </c>
      <c r="I9" s="14">
        <v>25200</v>
      </c>
      <c r="J9" s="14">
        <v>3780</v>
      </c>
      <c r="K9" s="14">
        <v>41580</v>
      </c>
      <c r="L9" s="14" t="str">
        <f ca="1">VLOOKUP(B9, 회원, 4, 0)</f>
        <v>감예쁨</v>
      </c>
      <c r="M9" s="14" t="str">
        <f ca="1">VLOOKUP(C9, 패키지, 3, 0)</f>
        <v>대전 반가워 패키지</v>
      </c>
    </row>
    <row r="10" spans="1:13" x14ac:dyDescent="0.3">
      <c r="A10" s="14">
        <v>9</v>
      </c>
      <c r="B10" s="14">
        <v>9</v>
      </c>
      <c r="C10" s="14">
        <v>30</v>
      </c>
      <c r="D10" s="15">
        <v>44565</v>
      </c>
      <c r="E10" s="14">
        <v>5</v>
      </c>
      <c r="F10" s="14">
        <v>5</v>
      </c>
      <c r="G10" s="14">
        <v>0</v>
      </c>
      <c r="H10" s="14">
        <v>84000</v>
      </c>
      <c r="I10" s="14">
        <v>67200</v>
      </c>
      <c r="J10" s="14">
        <v>0</v>
      </c>
      <c r="K10" s="14">
        <v>151200</v>
      </c>
      <c r="L10" s="14" t="str">
        <f ca="1">VLOOKUP(B10, 회원, 4, 0)</f>
        <v>김철수</v>
      </c>
      <c r="M10" s="14" t="str">
        <f ca="1">VLOOKUP(C10, 패키지, 3, 0)</f>
        <v>부산 룰루랄라 패키지</v>
      </c>
    </row>
    <row r="11" spans="1:13" x14ac:dyDescent="0.3">
      <c r="A11" s="14">
        <v>10</v>
      </c>
      <c r="B11" s="14">
        <v>10</v>
      </c>
      <c r="C11" s="14">
        <v>45</v>
      </c>
      <c r="D11" s="15">
        <v>44566</v>
      </c>
      <c r="E11" s="14">
        <v>5</v>
      </c>
      <c r="F11" s="14">
        <v>5</v>
      </c>
      <c r="G11" s="14">
        <v>2</v>
      </c>
      <c r="H11" s="14">
        <v>99000</v>
      </c>
      <c r="I11" s="14">
        <v>79200</v>
      </c>
      <c r="J11" s="14">
        <v>23760</v>
      </c>
      <c r="K11" s="14">
        <v>201960</v>
      </c>
      <c r="L11" s="14" t="str">
        <f ca="1">VLOOKUP(B11, 회원, 4, 0)</f>
        <v>나종대</v>
      </c>
      <c r="M11" s="14" t="str">
        <f ca="1">VLOOKUP(C11, 패키지, 3, 0)</f>
        <v>전남 선샤인 패키지</v>
      </c>
    </row>
    <row r="12" spans="1:13" x14ac:dyDescent="0.3">
      <c r="A12" s="14">
        <v>11</v>
      </c>
      <c r="B12" s="14">
        <v>17</v>
      </c>
      <c r="C12" s="14">
        <v>34</v>
      </c>
      <c r="D12" s="15">
        <v>44566</v>
      </c>
      <c r="E12" s="14">
        <v>1</v>
      </c>
      <c r="F12" s="14">
        <v>1</v>
      </c>
      <c r="G12" s="14">
        <v>4</v>
      </c>
      <c r="H12" s="14">
        <v>26800</v>
      </c>
      <c r="I12" s="14">
        <v>21440</v>
      </c>
      <c r="J12" s="14">
        <v>64320</v>
      </c>
      <c r="K12" s="14">
        <v>112560</v>
      </c>
      <c r="L12" s="14" t="str">
        <f ca="1">VLOOKUP(B12, 회원, 4, 0)</f>
        <v>윤산하</v>
      </c>
      <c r="M12" s="14" t="str">
        <f ca="1">VLOOKUP(C12, 패키지, 3, 0)</f>
        <v>서울 베스트 패키지</v>
      </c>
    </row>
    <row r="13" spans="1:13" x14ac:dyDescent="0.3">
      <c r="A13" s="14">
        <v>12</v>
      </c>
      <c r="B13" s="14">
        <v>12</v>
      </c>
      <c r="C13" s="14">
        <v>4</v>
      </c>
      <c r="D13" s="15">
        <v>44566</v>
      </c>
      <c r="E13" s="14">
        <v>0</v>
      </c>
      <c r="F13" s="14">
        <v>1</v>
      </c>
      <c r="G13" s="14">
        <v>2</v>
      </c>
      <c r="H13" s="14">
        <v>0</v>
      </c>
      <c r="I13" s="14">
        <v>25296</v>
      </c>
      <c r="J13" s="14">
        <v>37944</v>
      </c>
      <c r="K13" s="14">
        <v>63240</v>
      </c>
      <c r="L13" s="14" t="str">
        <f ca="1">VLOOKUP(B13, 회원, 4, 0)</f>
        <v>박아름</v>
      </c>
      <c r="M13" s="14" t="str">
        <f ca="1">VLOOKUP(C13, 패키지, 3, 0)</f>
        <v>강원 해피 패키지</v>
      </c>
    </row>
    <row r="14" spans="1:13" x14ac:dyDescent="0.3">
      <c r="A14" s="14">
        <v>13</v>
      </c>
      <c r="B14" s="14">
        <v>1</v>
      </c>
      <c r="C14" s="14">
        <v>25</v>
      </c>
      <c r="D14" s="15">
        <v>44567</v>
      </c>
      <c r="E14" s="14">
        <v>0</v>
      </c>
      <c r="F14" s="14">
        <v>1</v>
      </c>
      <c r="G14" s="14">
        <v>2</v>
      </c>
      <c r="H14" s="14">
        <v>0</v>
      </c>
      <c r="I14" s="14">
        <v>21600</v>
      </c>
      <c r="J14" s="14">
        <v>32400</v>
      </c>
      <c r="K14" s="14">
        <v>54000</v>
      </c>
      <c r="L14" s="14" t="str">
        <f ca="1">VLOOKUP(B14, 회원, 4, 0)</f>
        <v>감예쁨</v>
      </c>
      <c r="M14" s="14" t="str">
        <f ca="1">VLOOKUP(C14, 패키지, 3, 0)</f>
        <v>대전 최고 패키지</v>
      </c>
    </row>
    <row r="15" spans="1:13" x14ac:dyDescent="0.3">
      <c r="A15" s="14">
        <v>14</v>
      </c>
      <c r="B15" s="14">
        <v>7</v>
      </c>
      <c r="C15" s="14">
        <v>37</v>
      </c>
      <c r="D15" s="15">
        <v>44567</v>
      </c>
      <c r="E15" s="14">
        <v>1</v>
      </c>
      <c r="F15" s="14">
        <v>5</v>
      </c>
      <c r="G15" s="14">
        <v>5</v>
      </c>
      <c r="H15" s="14">
        <v>12600</v>
      </c>
      <c r="I15" s="14">
        <v>50400</v>
      </c>
      <c r="J15" s="14">
        <v>37800</v>
      </c>
      <c r="K15" s="14">
        <v>100800</v>
      </c>
      <c r="L15" s="14" t="str">
        <f ca="1">VLOOKUP(B15, 회원, 4, 0)</f>
        <v>김숙희</v>
      </c>
      <c r="M15" s="14" t="str">
        <f ca="1">VLOOKUP(C15, 패키지, 3, 0)</f>
        <v>세종 선샤인 패키지</v>
      </c>
    </row>
    <row r="16" spans="1:13" x14ac:dyDescent="0.3">
      <c r="A16" s="14">
        <v>15</v>
      </c>
      <c r="B16" s="14">
        <v>9</v>
      </c>
      <c r="C16" s="14">
        <v>9</v>
      </c>
      <c r="D16" s="15">
        <v>44567</v>
      </c>
      <c r="E16" s="14">
        <v>0</v>
      </c>
      <c r="F16" s="14">
        <v>4</v>
      </c>
      <c r="G16" s="14">
        <v>3</v>
      </c>
      <c r="H16" s="14">
        <v>0</v>
      </c>
      <c r="I16" s="14">
        <v>99840</v>
      </c>
      <c r="J16" s="14">
        <v>56160</v>
      </c>
      <c r="K16" s="14">
        <v>156000</v>
      </c>
      <c r="L16" s="14" t="str">
        <f ca="1">VLOOKUP(B16, 회원, 4, 0)</f>
        <v>김철수</v>
      </c>
      <c r="M16" s="14" t="str">
        <f ca="1">VLOOKUP(C16, 패키지, 3, 0)</f>
        <v>경남 배고파 패키지</v>
      </c>
    </row>
    <row r="17" spans="1:13" x14ac:dyDescent="0.3">
      <c r="A17" s="14">
        <v>16</v>
      </c>
      <c r="B17" s="14">
        <v>3</v>
      </c>
      <c r="C17" s="14">
        <v>57</v>
      </c>
      <c r="D17" s="15">
        <v>44568</v>
      </c>
      <c r="E17" s="14">
        <v>4</v>
      </c>
      <c r="F17" s="14">
        <v>1</v>
      </c>
      <c r="G17" s="14">
        <v>0</v>
      </c>
      <c r="H17" s="14">
        <v>80320</v>
      </c>
      <c r="I17" s="14">
        <v>16064</v>
      </c>
      <c r="J17" s="14">
        <v>0</v>
      </c>
      <c r="K17" s="14">
        <v>96384</v>
      </c>
      <c r="L17" s="14" t="str">
        <f ca="1">VLOOKUP(B17, 회원, 4, 0)</f>
        <v>김경영</v>
      </c>
      <c r="M17" s="14" t="str">
        <f ca="1">VLOOKUP(C17, 패키지, 3, 0)</f>
        <v>충북 베스트 패키지</v>
      </c>
    </row>
    <row r="18" spans="1:13" x14ac:dyDescent="0.3">
      <c r="A18" s="14">
        <v>17</v>
      </c>
      <c r="B18" s="14">
        <v>15</v>
      </c>
      <c r="C18" s="14">
        <v>22</v>
      </c>
      <c r="D18" s="15">
        <v>44568</v>
      </c>
      <c r="E18" s="14">
        <v>1</v>
      </c>
      <c r="F18" s="14">
        <v>0</v>
      </c>
      <c r="G18" s="14">
        <v>0</v>
      </c>
      <c r="H18" s="14">
        <v>12600</v>
      </c>
      <c r="I18" s="14">
        <v>0</v>
      </c>
      <c r="J18" s="14">
        <v>0</v>
      </c>
      <c r="K18" s="14">
        <v>12600</v>
      </c>
      <c r="L18" s="14" t="str">
        <f ca="1">VLOOKUP(B18, 회원, 4, 0)</f>
        <v>변백현</v>
      </c>
      <c r="M18" s="14" t="str">
        <f ca="1">VLOOKUP(C18, 패키지, 3, 0)</f>
        <v>대구 추억가득 패키지</v>
      </c>
    </row>
    <row r="19" spans="1:13" x14ac:dyDescent="0.3">
      <c r="A19" s="14">
        <v>18</v>
      </c>
      <c r="B19" s="14">
        <v>22</v>
      </c>
      <c r="C19" s="14">
        <v>9</v>
      </c>
      <c r="D19" s="15">
        <v>44568</v>
      </c>
      <c r="E19" s="14">
        <v>1</v>
      </c>
      <c r="F19" s="14">
        <v>5</v>
      </c>
      <c r="G19" s="14">
        <v>5</v>
      </c>
      <c r="H19" s="14">
        <v>31200</v>
      </c>
      <c r="I19" s="14">
        <v>124800</v>
      </c>
      <c r="J19" s="14">
        <v>93600</v>
      </c>
      <c r="K19" s="14">
        <v>249600</v>
      </c>
      <c r="L19" s="14" t="str">
        <f ca="1">VLOOKUP(B19, 회원, 4, 0)</f>
        <v>조민성</v>
      </c>
      <c r="M19" s="14" t="str">
        <f ca="1">VLOOKUP(C19, 패키지, 3, 0)</f>
        <v>경남 배고파 패키지</v>
      </c>
    </row>
    <row r="20" spans="1:13" x14ac:dyDescent="0.3">
      <c r="A20" s="14">
        <v>19</v>
      </c>
      <c r="B20" s="14">
        <v>2</v>
      </c>
      <c r="C20" s="14">
        <v>32</v>
      </c>
      <c r="D20" s="15">
        <v>44568</v>
      </c>
      <c r="E20" s="14">
        <v>0</v>
      </c>
      <c r="F20" s="14">
        <v>0</v>
      </c>
      <c r="G20" s="14">
        <v>1</v>
      </c>
      <c r="H20" s="14">
        <v>0</v>
      </c>
      <c r="I20" s="14">
        <v>0</v>
      </c>
      <c r="J20" s="14">
        <v>15300</v>
      </c>
      <c r="K20" s="14">
        <v>15300</v>
      </c>
      <c r="L20" s="14" t="str">
        <f ca="1">VLOOKUP(B20, 회원, 4, 0)</f>
        <v>강딸기</v>
      </c>
      <c r="M20" s="14" t="str">
        <f ca="1">VLOOKUP(C20, 패키지, 3, 0)</f>
        <v>서울 반가워 패키지</v>
      </c>
    </row>
    <row r="21" spans="1:13" x14ac:dyDescent="0.3">
      <c r="A21" s="14">
        <v>20</v>
      </c>
      <c r="B21" s="14">
        <v>14</v>
      </c>
      <c r="C21" s="14">
        <v>18</v>
      </c>
      <c r="D21" s="15">
        <v>44569</v>
      </c>
      <c r="E21" s="14">
        <v>3</v>
      </c>
      <c r="F21" s="14">
        <v>5</v>
      </c>
      <c r="G21" s="14">
        <v>2</v>
      </c>
      <c r="H21" s="14">
        <v>78300</v>
      </c>
      <c r="I21" s="14">
        <v>104400</v>
      </c>
      <c r="J21" s="14">
        <v>31320</v>
      </c>
      <c r="K21" s="14">
        <v>214020</v>
      </c>
      <c r="L21" s="14" t="str">
        <f ca="1">VLOOKUP(B21, 회원, 4, 0)</f>
        <v>배보라</v>
      </c>
      <c r="M21" s="14" t="str">
        <f ca="1">VLOOKUP(C21, 패키지, 3, 0)</f>
        <v>경북 행복한 패키지</v>
      </c>
    </row>
    <row r="22" spans="1:13" x14ac:dyDescent="0.3">
      <c r="A22" s="14">
        <v>21</v>
      </c>
      <c r="B22" s="14">
        <v>8</v>
      </c>
      <c r="C22" s="14">
        <v>27</v>
      </c>
      <c r="D22" s="15">
        <v>44571</v>
      </c>
      <c r="E22" s="14">
        <v>5</v>
      </c>
      <c r="F22" s="14">
        <v>0</v>
      </c>
      <c r="G22" s="14">
        <v>2</v>
      </c>
      <c r="H22" s="14">
        <v>78000</v>
      </c>
      <c r="I22" s="14">
        <v>0</v>
      </c>
      <c r="J22" s="14">
        <v>18720</v>
      </c>
      <c r="K22" s="14">
        <v>96720</v>
      </c>
      <c r="L22" s="14" t="str">
        <f ca="1">VLOOKUP(B22, 회원, 4, 0)</f>
        <v>김연우</v>
      </c>
      <c r="M22" s="14" t="str">
        <f ca="1">VLOOKUP(C22, 패키지, 3, 0)</f>
        <v>부산 베스트 패키지</v>
      </c>
    </row>
    <row r="23" spans="1:13" x14ac:dyDescent="0.3">
      <c r="A23" s="14">
        <v>22</v>
      </c>
      <c r="B23" s="14">
        <v>10</v>
      </c>
      <c r="C23" s="14">
        <v>8</v>
      </c>
      <c r="D23" s="15">
        <v>44571</v>
      </c>
      <c r="E23" s="14">
        <v>1</v>
      </c>
      <c r="F23" s="14">
        <v>5</v>
      </c>
      <c r="G23" s="14">
        <v>5</v>
      </c>
      <c r="H23" s="14">
        <v>21920</v>
      </c>
      <c r="I23" s="14">
        <v>87680</v>
      </c>
      <c r="J23" s="14">
        <v>65760</v>
      </c>
      <c r="K23" s="14">
        <v>175360</v>
      </c>
      <c r="L23" s="14" t="str">
        <f ca="1">VLOOKUP(B23, 회원, 4, 0)</f>
        <v>나종대</v>
      </c>
      <c r="M23" s="14" t="str">
        <f ca="1">VLOOKUP(C23, 패키지, 3, 0)</f>
        <v>경기 룰루랄라 패키지</v>
      </c>
    </row>
    <row r="24" spans="1:13" x14ac:dyDescent="0.3">
      <c r="A24" s="14">
        <v>23</v>
      </c>
      <c r="B24" s="14">
        <v>21</v>
      </c>
      <c r="C24" s="14">
        <v>42</v>
      </c>
      <c r="D24" s="15">
        <v>44571</v>
      </c>
      <c r="E24" s="14">
        <v>3</v>
      </c>
      <c r="F24" s="14">
        <v>5</v>
      </c>
      <c r="G24" s="14">
        <v>0</v>
      </c>
      <c r="H24" s="14">
        <v>21600</v>
      </c>
      <c r="I24" s="14">
        <v>28800</v>
      </c>
      <c r="J24" s="14">
        <v>0</v>
      </c>
      <c r="K24" s="14">
        <v>50400</v>
      </c>
      <c r="L24" s="14" t="str">
        <f ca="1">VLOOKUP(B24, 회원, 4, 0)</f>
        <v>전자미</v>
      </c>
      <c r="M24" s="14" t="str">
        <f ca="1">VLOOKUP(C24, 패키지, 3, 0)</f>
        <v>인천 행복한 패키지</v>
      </c>
    </row>
    <row r="25" spans="1:13" x14ac:dyDescent="0.3">
      <c r="A25" s="14">
        <v>24</v>
      </c>
      <c r="B25" s="14">
        <v>12</v>
      </c>
      <c r="C25" s="14">
        <v>30</v>
      </c>
      <c r="D25" s="15">
        <v>44571</v>
      </c>
      <c r="E25" s="14">
        <v>1</v>
      </c>
      <c r="F25" s="14">
        <v>2</v>
      </c>
      <c r="G25" s="14">
        <v>1</v>
      </c>
      <c r="H25" s="14">
        <v>16800</v>
      </c>
      <c r="I25" s="14">
        <v>26880</v>
      </c>
      <c r="J25" s="14">
        <v>10080</v>
      </c>
      <c r="K25" s="14">
        <v>53760</v>
      </c>
      <c r="L25" s="14" t="str">
        <f ca="1">VLOOKUP(B25, 회원, 4, 0)</f>
        <v>박아름</v>
      </c>
      <c r="M25" s="14" t="str">
        <f ca="1">VLOOKUP(C25, 패키지, 3, 0)</f>
        <v>부산 룰루랄라 패키지</v>
      </c>
    </row>
    <row r="26" spans="1:13" x14ac:dyDescent="0.3">
      <c r="A26" s="14">
        <v>25</v>
      </c>
      <c r="B26" s="14">
        <v>8</v>
      </c>
      <c r="C26" s="14">
        <v>17</v>
      </c>
      <c r="D26" s="15">
        <v>44572</v>
      </c>
      <c r="E26" s="14">
        <v>2</v>
      </c>
      <c r="F26" s="14">
        <v>4</v>
      </c>
      <c r="G26" s="14">
        <v>2</v>
      </c>
      <c r="H26" s="14">
        <v>50400</v>
      </c>
      <c r="I26" s="14">
        <v>80640</v>
      </c>
      <c r="J26" s="14">
        <v>30240</v>
      </c>
      <c r="K26" s="14">
        <v>161280</v>
      </c>
      <c r="L26" s="14" t="str">
        <f ca="1">VLOOKUP(B26, 회원, 4, 0)</f>
        <v>김연우</v>
      </c>
      <c r="M26" s="14" t="str">
        <f ca="1">VLOOKUP(C26, 패키지, 3, 0)</f>
        <v>경북 베스트 패키지</v>
      </c>
    </row>
    <row r="27" spans="1:13" x14ac:dyDescent="0.3">
      <c r="A27" s="14">
        <v>26</v>
      </c>
      <c r="B27" s="14">
        <v>16</v>
      </c>
      <c r="C27" s="14">
        <v>15</v>
      </c>
      <c r="D27" s="15">
        <v>44572</v>
      </c>
      <c r="E27" s="14">
        <v>1</v>
      </c>
      <c r="F27" s="14">
        <v>2</v>
      </c>
      <c r="G27" s="14">
        <v>1</v>
      </c>
      <c r="H27" s="14">
        <v>18900</v>
      </c>
      <c r="I27" s="14">
        <v>30240</v>
      </c>
      <c r="J27" s="14">
        <v>11340</v>
      </c>
      <c r="K27" s="14">
        <v>60480</v>
      </c>
      <c r="L27" s="14" t="str">
        <f ca="1">VLOOKUP(B27, 회원, 4, 0)</f>
        <v>유하나</v>
      </c>
      <c r="M27" s="14" t="str">
        <f ca="1">VLOOKUP(C27, 패키지, 3, 0)</f>
        <v>경북 맛집 패키지</v>
      </c>
    </row>
    <row r="28" spans="1:13" x14ac:dyDescent="0.3">
      <c r="A28" s="14">
        <v>27</v>
      </c>
      <c r="B28" s="14">
        <v>19</v>
      </c>
      <c r="C28" s="14">
        <v>16</v>
      </c>
      <c r="D28" s="15">
        <v>44572</v>
      </c>
      <c r="E28" s="14">
        <v>2</v>
      </c>
      <c r="F28" s="14">
        <v>4</v>
      </c>
      <c r="G28" s="14">
        <v>4</v>
      </c>
      <c r="H28" s="14">
        <v>62400</v>
      </c>
      <c r="I28" s="14">
        <v>99840</v>
      </c>
      <c r="J28" s="14">
        <v>74880</v>
      </c>
      <c r="K28" s="14">
        <v>237120</v>
      </c>
      <c r="L28" s="14" t="str">
        <f ca="1">VLOOKUP(B28, 회원, 4, 0)</f>
        <v>이소윤</v>
      </c>
      <c r="M28" s="14" t="str">
        <f ca="1">VLOOKUP(C28, 패키지, 3, 0)</f>
        <v>경북 즐거운 패키지</v>
      </c>
    </row>
    <row r="29" spans="1:13" x14ac:dyDescent="0.3">
      <c r="A29" s="14">
        <v>28</v>
      </c>
      <c r="B29" s="14">
        <v>23</v>
      </c>
      <c r="C29" s="14">
        <v>9</v>
      </c>
      <c r="D29" s="15">
        <v>44573</v>
      </c>
      <c r="E29" s="14">
        <v>1</v>
      </c>
      <c r="F29" s="14">
        <v>2</v>
      </c>
      <c r="G29" s="14">
        <v>5</v>
      </c>
      <c r="H29" s="14">
        <v>31200</v>
      </c>
      <c r="I29" s="14">
        <v>49920</v>
      </c>
      <c r="J29" s="14">
        <v>93600</v>
      </c>
      <c r="K29" s="14">
        <v>174720</v>
      </c>
      <c r="L29" s="14" t="str">
        <f ca="1">VLOOKUP(B29, 회원, 4, 0)</f>
        <v>조아영</v>
      </c>
      <c r="M29" s="14" t="str">
        <f ca="1">VLOOKUP(C29, 패키지, 3, 0)</f>
        <v>경남 배고파 패키지</v>
      </c>
    </row>
    <row r="30" spans="1:13" x14ac:dyDescent="0.3">
      <c r="A30" s="14">
        <v>29</v>
      </c>
      <c r="B30" s="14">
        <v>3</v>
      </c>
      <c r="C30" s="14">
        <v>15</v>
      </c>
      <c r="D30" s="15">
        <v>44574</v>
      </c>
      <c r="E30" s="14">
        <v>0</v>
      </c>
      <c r="F30" s="14">
        <v>4</v>
      </c>
      <c r="G30" s="14">
        <v>3</v>
      </c>
      <c r="H30" s="14">
        <v>0</v>
      </c>
      <c r="I30" s="14">
        <v>60480</v>
      </c>
      <c r="J30" s="14">
        <v>34020</v>
      </c>
      <c r="K30" s="14">
        <v>94500</v>
      </c>
      <c r="L30" s="14" t="str">
        <f ca="1">VLOOKUP(B30, 회원, 4, 0)</f>
        <v>김경영</v>
      </c>
      <c r="M30" s="14" t="str">
        <f ca="1">VLOOKUP(C30, 패키지, 3, 0)</f>
        <v>경북 맛집 패키지</v>
      </c>
    </row>
    <row r="31" spans="1:13" x14ac:dyDescent="0.3">
      <c r="A31" s="14">
        <v>30</v>
      </c>
      <c r="B31" s="14">
        <v>24</v>
      </c>
      <c r="C31" s="14">
        <v>12</v>
      </c>
      <c r="D31" s="15">
        <v>44574</v>
      </c>
      <c r="E31" s="14">
        <v>2</v>
      </c>
      <c r="F31" s="14">
        <v>0</v>
      </c>
      <c r="G31" s="14">
        <v>3</v>
      </c>
      <c r="H31" s="14">
        <v>27000</v>
      </c>
      <c r="I31" s="14">
        <v>0</v>
      </c>
      <c r="J31" s="14">
        <v>24300</v>
      </c>
      <c r="K31" s="14">
        <v>51300</v>
      </c>
      <c r="L31" s="14" t="str">
        <f ca="1">VLOOKUP(B31, 회원, 4, 0)</f>
        <v>하주연</v>
      </c>
      <c r="M31" s="14" t="str">
        <f ca="1">VLOOKUP(C31, 패키지, 3, 0)</f>
        <v>경남 좋은 패키지</v>
      </c>
    </row>
    <row r="32" spans="1:13" x14ac:dyDescent="0.3">
      <c r="A32" s="14">
        <v>31</v>
      </c>
      <c r="B32" s="14">
        <v>17</v>
      </c>
      <c r="C32" s="14">
        <v>37</v>
      </c>
      <c r="D32" s="15">
        <v>44575</v>
      </c>
      <c r="E32" s="14">
        <v>3</v>
      </c>
      <c r="F32" s="14">
        <v>0</v>
      </c>
      <c r="G32" s="14">
        <v>4</v>
      </c>
      <c r="H32" s="14">
        <v>37800</v>
      </c>
      <c r="I32" s="14">
        <v>0</v>
      </c>
      <c r="J32" s="14">
        <v>30240</v>
      </c>
      <c r="K32" s="14">
        <v>68040</v>
      </c>
      <c r="L32" s="14" t="str">
        <f ca="1">VLOOKUP(B32, 회원, 4, 0)</f>
        <v>윤산하</v>
      </c>
      <c r="M32" s="14" t="str">
        <f ca="1">VLOOKUP(C32, 패키지, 3, 0)</f>
        <v>세종 선샤인 패키지</v>
      </c>
    </row>
    <row r="33" spans="1:13" x14ac:dyDescent="0.3">
      <c r="A33" s="14">
        <v>32</v>
      </c>
      <c r="B33" s="14">
        <v>10</v>
      </c>
      <c r="C33" s="14">
        <v>7</v>
      </c>
      <c r="D33" s="15">
        <v>44575</v>
      </c>
      <c r="E33" s="14">
        <v>2</v>
      </c>
      <c r="F33" s="14">
        <v>4</v>
      </c>
      <c r="G33" s="14">
        <v>3</v>
      </c>
      <c r="H33" s="14">
        <v>52160</v>
      </c>
      <c r="I33" s="14">
        <v>83456</v>
      </c>
      <c r="J33" s="14">
        <v>46944</v>
      </c>
      <c r="K33" s="14">
        <v>182560</v>
      </c>
      <c r="L33" s="14" t="str">
        <f ca="1">VLOOKUP(B33, 회원, 4, 0)</f>
        <v>나종대</v>
      </c>
      <c r="M33" s="14" t="str">
        <f ca="1">VLOOKUP(C33, 패키지, 3, 0)</f>
        <v>경기 최고 패키지</v>
      </c>
    </row>
    <row r="34" spans="1:13" x14ac:dyDescent="0.3">
      <c r="A34" s="14">
        <v>33</v>
      </c>
      <c r="B34" s="14">
        <v>25</v>
      </c>
      <c r="C34" s="14">
        <v>42</v>
      </c>
      <c r="D34" s="15">
        <v>44575</v>
      </c>
      <c r="E34" s="14">
        <v>3</v>
      </c>
      <c r="F34" s="14">
        <v>0</v>
      </c>
      <c r="G34" s="14">
        <v>5</v>
      </c>
      <c r="H34" s="14">
        <v>21600</v>
      </c>
      <c r="I34" s="14">
        <v>0</v>
      </c>
      <c r="J34" s="14">
        <v>21600</v>
      </c>
      <c r="K34" s="14">
        <v>43200</v>
      </c>
      <c r="L34" s="14" t="str">
        <f ca="1">VLOOKUP(B34, 회원, 4, 0)</f>
        <v>홍길동</v>
      </c>
      <c r="M34" s="14" t="str">
        <f ca="1">VLOOKUP(C34, 패키지, 3, 0)</f>
        <v>인천 행복한 패키지</v>
      </c>
    </row>
    <row r="35" spans="1:13" x14ac:dyDescent="0.3">
      <c r="A35" s="14">
        <v>34</v>
      </c>
      <c r="B35" s="14">
        <v>6</v>
      </c>
      <c r="C35" s="14">
        <v>19</v>
      </c>
      <c r="D35" s="15">
        <v>44576</v>
      </c>
      <c r="E35" s="14">
        <v>2</v>
      </c>
      <c r="F35" s="14">
        <v>5</v>
      </c>
      <c r="G35" s="14">
        <v>4</v>
      </c>
      <c r="H35" s="14">
        <v>37800</v>
      </c>
      <c r="I35" s="14">
        <v>75600</v>
      </c>
      <c r="J35" s="14">
        <v>45360</v>
      </c>
      <c r="K35" s="14">
        <v>158760</v>
      </c>
      <c r="L35" s="14" t="str">
        <f ca="1">VLOOKUP(B35, 회원, 4, 0)</f>
        <v>김성숙</v>
      </c>
      <c r="M35" s="14" t="str">
        <f ca="1">VLOOKUP(C35, 패키지, 3, 0)</f>
        <v>광주 해피 패키지</v>
      </c>
    </row>
    <row r="36" spans="1:13" x14ac:dyDescent="0.3">
      <c r="A36" s="14">
        <v>35</v>
      </c>
      <c r="B36" s="14">
        <v>3</v>
      </c>
      <c r="C36" s="14">
        <v>56</v>
      </c>
      <c r="D36" s="15">
        <v>44576</v>
      </c>
      <c r="E36" s="14">
        <v>1</v>
      </c>
      <c r="F36" s="14">
        <v>5</v>
      </c>
      <c r="G36" s="14">
        <v>2</v>
      </c>
      <c r="H36" s="14">
        <v>22410</v>
      </c>
      <c r="I36" s="14">
        <v>89640</v>
      </c>
      <c r="J36" s="14">
        <v>26892</v>
      </c>
      <c r="K36" s="14">
        <v>138942</v>
      </c>
      <c r="L36" s="14" t="str">
        <f ca="1">VLOOKUP(B36, 회원, 4, 0)</f>
        <v>김경영</v>
      </c>
      <c r="M36" s="14" t="str">
        <f ca="1">VLOOKUP(C36, 패키지, 3, 0)</f>
        <v>충북 반가워 패키지</v>
      </c>
    </row>
    <row r="37" spans="1:13" x14ac:dyDescent="0.3">
      <c r="A37" s="14">
        <v>36</v>
      </c>
      <c r="B37" s="14">
        <v>2</v>
      </c>
      <c r="C37" s="14">
        <v>32</v>
      </c>
      <c r="D37" s="15">
        <v>44577</v>
      </c>
      <c r="E37" s="14">
        <v>5</v>
      </c>
      <c r="F37" s="14">
        <v>1</v>
      </c>
      <c r="G37" s="14">
        <v>4</v>
      </c>
      <c r="H37" s="14">
        <v>127500</v>
      </c>
      <c r="I37" s="14">
        <v>20400</v>
      </c>
      <c r="J37" s="14">
        <v>61200</v>
      </c>
      <c r="K37" s="14">
        <v>209100</v>
      </c>
      <c r="L37" s="14" t="str">
        <f ca="1">VLOOKUP(B37, 회원, 4, 0)</f>
        <v>강딸기</v>
      </c>
      <c r="M37" s="14" t="str">
        <f ca="1">VLOOKUP(C37, 패키지, 3, 0)</f>
        <v>서울 반가워 패키지</v>
      </c>
    </row>
    <row r="38" spans="1:13" x14ac:dyDescent="0.3">
      <c r="A38" s="14">
        <v>37</v>
      </c>
      <c r="B38" s="14">
        <v>15</v>
      </c>
      <c r="C38" s="14">
        <v>54</v>
      </c>
      <c r="D38" s="15">
        <v>44577</v>
      </c>
      <c r="E38" s="14">
        <v>5</v>
      </c>
      <c r="F38" s="14">
        <v>2</v>
      </c>
      <c r="G38" s="14">
        <v>3</v>
      </c>
      <c r="H38" s="14">
        <v>110700</v>
      </c>
      <c r="I38" s="14">
        <v>35424</v>
      </c>
      <c r="J38" s="14">
        <v>39852</v>
      </c>
      <c r="K38" s="14">
        <v>185976</v>
      </c>
      <c r="L38" s="14" t="str">
        <f ca="1">VLOOKUP(B38, 회원, 4, 0)</f>
        <v>변백현</v>
      </c>
      <c r="M38" s="14" t="str">
        <f ca="1">VLOOKUP(C38, 패키지, 3, 0)</f>
        <v>충남 베스트 패키지</v>
      </c>
    </row>
    <row r="39" spans="1:13" x14ac:dyDescent="0.3">
      <c r="A39" s="14">
        <v>38</v>
      </c>
      <c r="B39" s="14">
        <v>17</v>
      </c>
      <c r="C39" s="14">
        <v>46</v>
      </c>
      <c r="D39" s="15">
        <v>44577</v>
      </c>
      <c r="E39" s="14">
        <v>4</v>
      </c>
      <c r="F39" s="14">
        <v>3</v>
      </c>
      <c r="G39" s="14">
        <v>4</v>
      </c>
      <c r="H39" s="14">
        <v>91200</v>
      </c>
      <c r="I39" s="14">
        <v>54720</v>
      </c>
      <c r="J39" s="14">
        <v>54720</v>
      </c>
      <c r="K39" s="14">
        <v>200640</v>
      </c>
      <c r="L39" s="14" t="str">
        <f ca="1">VLOOKUP(B39, 회원, 4, 0)</f>
        <v>윤산하</v>
      </c>
      <c r="M39" s="14" t="str">
        <f ca="1">VLOOKUP(C39, 패키지, 3, 0)</f>
        <v>전남 해피 패키지</v>
      </c>
    </row>
    <row r="40" spans="1:13" x14ac:dyDescent="0.3">
      <c r="A40" s="14">
        <v>39</v>
      </c>
      <c r="B40" s="14">
        <v>13</v>
      </c>
      <c r="C40" s="14">
        <v>34</v>
      </c>
      <c r="D40" s="15">
        <v>44579</v>
      </c>
      <c r="E40" s="14">
        <v>1</v>
      </c>
      <c r="F40" s="14">
        <v>4</v>
      </c>
      <c r="G40" s="14">
        <v>4</v>
      </c>
      <c r="H40" s="14">
        <v>26800</v>
      </c>
      <c r="I40" s="14">
        <v>85760</v>
      </c>
      <c r="J40" s="14">
        <v>64320</v>
      </c>
      <c r="K40" s="14">
        <v>176880</v>
      </c>
      <c r="L40" s="14" t="str">
        <f ca="1">VLOOKUP(B40, 회원, 4, 0)</f>
        <v>박지성</v>
      </c>
      <c r="M40" s="14" t="str">
        <f ca="1">VLOOKUP(C40, 패키지, 3, 0)</f>
        <v>서울 베스트 패키지</v>
      </c>
    </row>
    <row r="41" spans="1:13" x14ac:dyDescent="0.3">
      <c r="A41" s="14">
        <v>40</v>
      </c>
      <c r="B41" s="14">
        <v>2</v>
      </c>
      <c r="C41" s="14">
        <v>37</v>
      </c>
      <c r="D41" s="15">
        <v>44579</v>
      </c>
      <c r="E41" s="14">
        <v>3</v>
      </c>
      <c r="F41" s="14">
        <v>4</v>
      </c>
      <c r="G41" s="14">
        <v>0</v>
      </c>
      <c r="H41" s="14">
        <v>37800</v>
      </c>
      <c r="I41" s="14">
        <v>40320</v>
      </c>
      <c r="J41" s="14">
        <v>0</v>
      </c>
      <c r="K41" s="14">
        <v>78120</v>
      </c>
      <c r="L41" s="14" t="str">
        <f ca="1">VLOOKUP(B41, 회원, 4, 0)</f>
        <v>강딸기</v>
      </c>
      <c r="M41" s="14" t="str">
        <f ca="1">VLOOKUP(C41, 패키지, 3, 0)</f>
        <v>세종 선샤인 패키지</v>
      </c>
    </row>
    <row r="42" spans="1:13" x14ac:dyDescent="0.3">
      <c r="A42" s="14">
        <v>41</v>
      </c>
      <c r="B42" s="14">
        <v>1</v>
      </c>
      <c r="C42" s="14">
        <v>8</v>
      </c>
      <c r="D42" s="15">
        <v>44579</v>
      </c>
      <c r="E42" s="14">
        <v>4</v>
      </c>
      <c r="F42" s="14">
        <v>2</v>
      </c>
      <c r="G42" s="14">
        <v>1</v>
      </c>
      <c r="H42" s="14">
        <v>87680</v>
      </c>
      <c r="I42" s="14">
        <v>35072</v>
      </c>
      <c r="J42" s="14">
        <v>13152</v>
      </c>
      <c r="K42" s="14">
        <v>135904</v>
      </c>
      <c r="L42" s="14" t="str">
        <f ca="1">VLOOKUP(B42, 회원, 4, 0)</f>
        <v>감예쁨</v>
      </c>
      <c r="M42" s="14" t="str">
        <f ca="1">VLOOKUP(C42, 패키지, 3, 0)</f>
        <v>경기 룰루랄라 패키지</v>
      </c>
    </row>
    <row r="43" spans="1:13" x14ac:dyDescent="0.3">
      <c r="A43" s="14">
        <v>42</v>
      </c>
      <c r="B43" s="14">
        <v>5</v>
      </c>
      <c r="C43" s="14">
        <v>43</v>
      </c>
      <c r="D43" s="15">
        <v>44580</v>
      </c>
      <c r="E43" s="14">
        <v>1</v>
      </c>
      <c r="F43" s="14">
        <v>0</v>
      </c>
      <c r="G43" s="14">
        <v>2</v>
      </c>
      <c r="H43" s="14">
        <v>21600</v>
      </c>
      <c r="I43" s="14">
        <v>0</v>
      </c>
      <c r="J43" s="14">
        <v>25920</v>
      </c>
      <c r="K43" s="14">
        <v>47520</v>
      </c>
      <c r="L43" s="14" t="str">
        <f ca="1">VLOOKUP(B43, 회원, 4, 0)</f>
        <v>김성대</v>
      </c>
      <c r="M43" s="14" t="str">
        <f ca="1">VLOOKUP(C43, 패키지, 3, 0)</f>
        <v>인천 선샤인 패키지</v>
      </c>
    </row>
    <row r="44" spans="1:13" x14ac:dyDescent="0.3">
      <c r="A44" s="14">
        <v>43</v>
      </c>
      <c r="B44" s="14">
        <v>9</v>
      </c>
      <c r="C44" s="14">
        <v>6</v>
      </c>
      <c r="D44" s="15">
        <v>44580</v>
      </c>
      <c r="E44" s="14">
        <v>0</v>
      </c>
      <c r="F44" s="14">
        <v>1</v>
      </c>
      <c r="G44" s="14">
        <v>2</v>
      </c>
      <c r="H44" s="14">
        <v>0</v>
      </c>
      <c r="I44" s="14">
        <v>21440</v>
      </c>
      <c r="J44" s="14">
        <v>32160</v>
      </c>
      <c r="K44" s="14">
        <v>53600</v>
      </c>
      <c r="L44" s="14" t="str">
        <f ca="1">VLOOKUP(B44, 회원, 4, 0)</f>
        <v>김철수</v>
      </c>
      <c r="M44" s="14" t="str">
        <f ca="1">VLOOKUP(C44, 패키지, 3, 0)</f>
        <v>경기 반가워 패키지</v>
      </c>
    </row>
    <row r="45" spans="1:13" x14ac:dyDescent="0.3">
      <c r="A45" s="14">
        <v>44</v>
      </c>
      <c r="B45" s="14">
        <v>27</v>
      </c>
      <c r="C45" s="14">
        <v>36</v>
      </c>
      <c r="D45" s="15">
        <v>44581</v>
      </c>
      <c r="E45" s="14">
        <v>1</v>
      </c>
      <c r="F45" s="14">
        <v>3</v>
      </c>
      <c r="G45" s="14">
        <v>2</v>
      </c>
      <c r="H45" s="14">
        <v>20250</v>
      </c>
      <c r="I45" s="14">
        <v>48600</v>
      </c>
      <c r="J45" s="14">
        <v>24300</v>
      </c>
      <c r="K45" s="14">
        <v>93150</v>
      </c>
      <c r="L45" s="14" t="str">
        <f ca="1">VLOOKUP(B45, 회원, 4, 0)</f>
        <v>홍아람</v>
      </c>
      <c r="M45" s="14" t="str">
        <f ca="1">VLOOKUP(C45, 패키지, 3, 0)</f>
        <v>서울 즐거운 패키지</v>
      </c>
    </row>
    <row r="46" spans="1:13" x14ac:dyDescent="0.3">
      <c r="A46" s="14">
        <v>45</v>
      </c>
      <c r="B46" s="14">
        <v>13</v>
      </c>
      <c r="C46" s="14">
        <v>34</v>
      </c>
      <c r="D46" s="15">
        <v>44581</v>
      </c>
      <c r="E46" s="14">
        <v>5</v>
      </c>
      <c r="F46" s="14">
        <v>3</v>
      </c>
      <c r="G46" s="14">
        <v>3</v>
      </c>
      <c r="H46" s="14">
        <v>134000</v>
      </c>
      <c r="I46" s="14">
        <v>64320</v>
      </c>
      <c r="J46" s="14">
        <v>48240</v>
      </c>
      <c r="K46" s="14">
        <v>246560</v>
      </c>
      <c r="L46" s="14" t="str">
        <f ca="1">VLOOKUP(B46, 회원, 4, 0)</f>
        <v>박지성</v>
      </c>
      <c r="M46" s="14" t="str">
        <f ca="1">VLOOKUP(C46, 패키지, 3, 0)</f>
        <v>서울 베스트 패키지</v>
      </c>
    </row>
    <row r="47" spans="1:13" x14ac:dyDescent="0.3">
      <c r="A47" s="14">
        <v>46</v>
      </c>
      <c r="B47" s="14">
        <v>20</v>
      </c>
      <c r="C47" s="14">
        <v>51</v>
      </c>
      <c r="D47" s="15">
        <v>44581</v>
      </c>
      <c r="E47" s="14">
        <v>3</v>
      </c>
      <c r="F47" s="14">
        <v>1</v>
      </c>
      <c r="G47" s="14">
        <v>4</v>
      </c>
      <c r="H47" s="14">
        <v>29700</v>
      </c>
      <c r="I47" s="14">
        <v>7920</v>
      </c>
      <c r="J47" s="14">
        <v>23760</v>
      </c>
      <c r="K47" s="14">
        <v>61380</v>
      </c>
      <c r="L47" s="14" t="str">
        <f ca="1">VLOOKUP(B47, 회원, 4, 0)</f>
        <v>이영주</v>
      </c>
      <c r="M47" s="14" t="str">
        <f ca="1">VLOOKUP(C47, 패키지, 3, 0)</f>
        <v>제주 반가워 패키지</v>
      </c>
    </row>
    <row r="48" spans="1:13" x14ac:dyDescent="0.3">
      <c r="A48" s="14">
        <v>47</v>
      </c>
      <c r="B48" s="14">
        <v>25</v>
      </c>
      <c r="C48" s="14">
        <v>3</v>
      </c>
      <c r="D48" s="15">
        <v>44581</v>
      </c>
      <c r="E48" s="14">
        <v>1</v>
      </c>
      <c r="F48" s="14">
        <v>2</v>
      </c>
      <c r="G48" s="14">
        <v>1</v>
      </c>
      <c r="H48" s="14">
        <v>26720</v>
      </c>
      <c r="I48" s="14">
        <v>42752</v>
      </c>
      <c r="J48" s="14">
        <v>16032</v>
      </c>
      <c r="K48" s="14">
        <v>85504</v>
      </c>
      <c r="L48" s="14" t="str">
        <f ca="1">VLOOKUP(B48, 회원, 4, 0)</f>
        <v>홍길동</v>
      </c>
      <c r="M48" s="14" t="str">
        <f ca="1">VLOOKUP(C48, 패키지, 3, 0)</f>
        <v>강원 할인 패키지</v>
      </c>
    </row>
    <row r="49" spans="1:13" x14ac:dyDescent="0.3">
      <c r="A49" s="14">
        <v>48</v>
      </c>
      <c r="B49" s="14">
        <v>4</v>
      </c>
      <c r="C49" s="14">
        <v>54</v>
      </c>
      <c r="D49" s="15">
        <v>44582</v>
      </c>
      <c r="E49" s="14">
        <v>4</v>
      </c>
      <c r="F49" s="14">
        <v>1</v>
      </c>
      <c r="G49" s="14">
        <v>2</v>
      </c>
      <c r="H49" s="14">
        <v>88560</v>
      </c>
      <c r="I49" s="14">
        <v>17712</v>
      </c>
      <c r="J49" s="14">
        <v>26568</v>
      </c>
      <c r="K49" s="14">
        <v>132840</v>
      </c>
      <c r="L49" s="14" t="str">
        <f ca="1">VLOOKUP(B49, 회원, 4, 0)</f>
        <v>김설아</v>
      </c>
      <c r="M49" s="14" t="str">
        <f ca="1">VLOOKUP(C49, 패키지, 3, 0)</f>
        <v>충남 베스트 패키지</v>
      </c>
    </row>
    <row r="50" spans="1:13" x14ac:dyDescent="0.3">
      <c r="A50" s="14">
        <v>49</v>
      </c>
      <c r="B50" s="14">
        <v>15</v>
      </c>
      <c r="C50" s="14">
        <v>46</v>
      </c>
      <c r="D50" s="15">
        <v>44584</v>
      </c>
      <c r="E50" s="14">
        <v>4</v>
      </c>
      <c r="F50" s="14">
        <v>5</v>
      </c>
      <c r="G50" s="14">
        <v>4</v>
      </c>
      <c r="H50" s="14">
        <v>91200</v>
      </c>
      <c r="I50" s="14">
        <v>91200</v>
      </c>
      <c r="J50" s="14">
        <v>54720</v>
      </c>
      <c r="K50" s="14">
        <v>237120</v>
      </c>
      <c r="L50" s="14" t="str">
        <f ca="1">VLOOKUP(B50, 회원, 4, 0)</f>
        <v>변백현</v>
      </c>
      <c r="M50" s="14" t="str">
        <f ca="1">VLOOKUP(C50, 패키지, 3, 0)</f>
        <v>전남 해피 패키지</v>
      </c>
    </row>
    <row r="51" spans="1:13" x14ac:dyDescent="0.3">
      <c r="A51" s="14">
        <v>50</v>
      </c>
      <c r="B51" s="14">
        <v>24</v>
      </c>
      <c r="C51" s="14">
        <v>13</v>
      </c>
      <c r="D51" s="15">
        <v>44584</v>
      </c>
      <c r="E51" s="14">
        <v>3</v>
      </c>
      <c r="F51" s="14">
        <v>3</v>
      </c>
      <c r="G51" s="14">
        <v>2</v>
      </c>
      <c r="H51" s="14">
        <v>112800</v>
      </c>
      <c r="I51" s="14">
        <v>90240</v>
      </c>
      <c r="J51" s="14">
        <v>45120</v>
      </c>
      <c r="K51" s="14">
        <v>248160</v>
      </c>
      <c r="L51" s="14" t="str">
        <f ca="1">VLOOKUP(B51, 회원, 4, 0)</f>
        <v>하주연</v>
      </c>
      <c r="M51" s="14" t="str">
        <f ca="1">VLOOKUP(C51, 패키지, 3, 0)</f>
        <v>경남 즐거운 패키지</v>
      </c>
    </row>
    <row r="52" spans="1:13" x14ac:dyDescent="0.3">
      <c r="A52" s="14">
        <v>51</v>
      </c>
      <c r="B52" s="14">
        <v>20</v>
      </c>
      <c r="C52" s="14">
        <v>30</v>
      </c>
      <c r="D52" s="15">
        <v>44584</v>
      </c>
      <c r="E52" s="14">
        <v>0</v>
      </c>
      <c r="F52" s="14">
        <v>4</v>
      </c>
      <c r="G52" s="14">
        <v>0</v>
      </c>
      <c r="H52" s="14">
        <v>0</v>
      </c>
      <c r="I52" s="14">
        <v>53760</v>
      </c>
      <c r="J52" s="14">
        <v>0</v>
      </c>
      <c r="K52" s="14">
        <v>53760</v>
      </c>
      <c r="L52" s="14" t="str">
        <f ca="1">VLOOKUP(B52, 회원, 4, 0)</f>
        <v>이영주</v>
      </c>
      <c r="M52" s="14" t="str">
        <f ca="1">VLOOKUP(C52, 패키지, 3, 0)</f>
        <v>부산 룰루랄라 패키지</v>
      </c>
    </row>
    <row r="53" spans="1:13" x14ac:dyDescent="0.3">
      <c r="A53" s="14">
        <v>52</v>
      </c>
      <c r="B53" s="14">
        <v>19</v>
      </c>
      <c r="C53" s="14">
        <v>21</v>
      </c>
      <c r="D53" s="15">
        <v>44584</v>
      </c>
      <c r="E53" s="14">
        <v>5</v>
      </c>
      <c r="F53" s="14">
        <v>4</v>
      </c>
      <c r="G53" s="14">
        <v>2</v>
      </c>
      <c r="H53" s="14">
        <v>100000</v>
      </c>
      <c r="I53" s="14">
        <v>64000</v>
      </c>
      <c r="J53" s="14">
        <v>24000</v>
      </c>
      <c r="K53" s="14">
        <v>188000</v>
      </c>
      <c r="L53" s="14" t="str">
        <f ca="1">VLOOKUP(B53, 회원, 4, 0)</f>
        <v>이소윤</v>
      </c>
      <c r="M53" s="14" t="str">
        <f ca="1">VLOOKUP(C53, 패키지, 3, 0)</f>
        <v>대구 룰루랄라 패키지</v>
      </c>
    </row>
    <row r="54" spans="1:13" x14ac:dyDescent="0.3">
      <c r="A54" s="14">
        <v>53</v>
      </c>
      <c r="B54" s="14">
        <v>27</v>
      </c>
      <c r="C54" s="14">
        <v>7</v>
      </c>
      <c r="D54" s="15">
        <v>44585</v>
      </c>
      <c r="E54" s="14">
        <v>0</v>
      </c>
      <c r="F54" s="14">
        <v>5</v>
      </c>
      <c r="G54" s="14">
        <v>0</v>
      </c>
      <c r="H54" s="14">
        <v>0</v>
      </c>
      <c r="I54" s="14">
        <v>104320</v>
      </c>
      <c r="J54" s="14">
        <v>0</v>
      </c>
      <c r="K54" s="14">
        <v>104320</v>
      </c>
      <c r="L54" s="14" t="str">
        <f ca="1">VLOOKUP(B54, 회원, 4, 0)</f>
        <v>홍아람</v>
      </c>
      <c r="M54" s="14" t="str">
        <f ca="1">VLOOKUP(C54, 패키지, 3, 0)</f>
        <v>경기 최고 패키지</v>
      </c>
    </row>
    <row r="55" spans="1:13" x14ac:dyDescent="0.3">
      <c r="A55" s="14">
        <v>54</v>
      </c>
      <c r="B55" s="14">
        <v>15</v>
      </c>
      <c r="C55" s="14">
        <v>46</v>
      </c>
      <c r="D55" s="15">
        <v>44586</v>
      </c>
      <c r="E55" s="14">
        <v>0</v>
      </c>
      <c r="F55" s="14">
        <v>1</v>
      </c>
      <c r="G55" s="14">
        <v>3</v>
      </c>
      <c r="H55" s="14">
        <v>0</v>
      </c>
      <c r="I55" s="14">
        <v>18240</v>
      </c>
      <c r="J55" s="14">
        <v>41040</v>
      </c>
      <c r="K55" s="14">
        <v>59280</v>
      </c>
      <c r="L55" s="14" t="str">
        <f ca="1">VLOOKUP(B55, 회원, 4, 0)</f>
        <v>변백현</v>
      </c>
      <c r="M55" s="14" t="str">
        <f ca="1">VLOOKUP(C55, 패키지, 3, 0)</f>
        <v>전남 해피 패키지</v>
      </c>
    </row>
    <row r="56" spans="1:13" x14ac:dyDescent="0.3">
      <c r="A56" s="14">
        <v>55</v>
      </c>
      <c r="B56" s="14">
        <v>17</v>
      </c>
      <c r="C56" s="14">
        <v>56</v>
      </c>
      <c r="D56" s="15">
        <v>44586</v>
      </c>
      <c r="E56" s="14">
        <v>5</v>
      </c>
      <c r="F56" s="14">
        <v>3</v>
      </c>
      <c r="G56" s="14">
        <v>3</v>
      </c>
      <c r="H56" s="14">
        <v>112050</v>
      </c>
      <c r="I56" s="14">
        <v>53784</v>
      </c>
      <c r="J56" s="14">
        <v>40338</v>
      </c>
      <c r="K56" s="14">
        <v>206172</v>
      </c>
      <c r="L56" s="14" t="str">
        <f ca="1">VLOOKUP(B56, 회원, 4, 0)</f>
        <v>윤산하</v>
      </c>
      <c r="M56" s="14" t="str">
        <f ca="1">VLOOKUP(C56, 패키지, 3, 0)</f>
        <v>충북 반가워 패키지</v>
      </c>
    </row>
    <row r="57" spans="1:13" x14ac:dyDescent="0.3">
      <c r="A57" s="14">
        <v>56</v>
      </c>
      <c r="B57" s="14">
        <v>11</v>
      </c>
      <c r="C57" s="14">
        <v>21</v>
      </c>
      <c r="D57" s="15">
        <v>44587</v>
      </c>
      <c r="E57" s="14">
        <v>1</v>
      </c>
      <c r="F57" s="14">
        <v>2</v>
      </c>
      <c r="G57" s="14">
        <v>2</v>
      </c>
      <c r="H57" s="14">
        <v>20000</v>
      </c>
      <c r="I57" s="14">
        <v>32000</v>
      </c>
      <c r="J57" s="14">
        <v>24000</v>
      </c>
      <c r="K57" s="14">
        <v>76000</v>
      </c>
      <c r="L57" s="14" t="str">
        <f ca="1">VLOOKUP(B57, 회원, 4, 0)</f>
        <v>남정휴</v>
      </c>
      <c r="M57" s="14" t="str">
        <f ca="1">VLOOKUP(C57, 패키지, 3, 0)</f>
        <v>대구 룰루랄라 패키지</v>
      </c>
    </row>
    <row r="58" spans="1:13" x14ac:dyDescent="0.3">
      <c r="A58" s="14">
        <v>57</v>
      </c>
      <c r="B58" s="14">
        <v>23</v>
      </c>
      <c r="C58" s="14">
        <v>22</v>
      </c>
      <c r="D58" s="15">
        <v>44587</v>
      </c>
      <c r="E58" s="14">
        <v>0</v>
      </c>
      <c r="F58" s="14">
        <v>3</v>
      </c>
      <c r="G58" s="14">
        <v>0</v>
      </c>
      <c r="H58" s="14">
        <v>0</v>
      </c>
      <c r="I58" s="14">
        <v>30240</v>
      </c>
      <c r="J58" s="14">
        <v>0</v>
      </c>
      <c r="K58" s="14">
        <v>30240</v>
      </c>
      <c r="L58" s="14" t="str">
        <f ca="1">VLOOKUP(B58, 회원, 4, 0)</f>
        <v>조아영</v>
      </c>
      <c r="M58" s="14" t="str">
        <f ca="1">VLOOKUP(C58, 패키지, 3, 0)</f>
        <v>대구 추억가득 패키지</v>
      </c>
    </row>
    <row r="59" spans="1:13" x14ac:dyDescent="0.3">
      <c r="A59" s="14">
        <v>58</v>
      </c>
      <c r="B59" s="14">
        <v>15</v>
      </c>
      <c r="C59" s="14">
        <v>21</v>
      </c>
      <c r="D59" s="15">
        <v>44588</v>
      </c>
      <c r="E59" s="14">
        <v>3</v>
      </c>
      <c r="F59" s="14">
        <v>0</v>
      </c>
      <c r="G59" s="14">
        <v>3</v>
      </c>
      <c r="H59" s="14">
        <v>60000</v>
      </c>
      <c r="I59" s="14">
        <v>0</v>
      </c>
      <c r="J59" s="14">
        <v>36000</v>
      </c>
      <c r="K59" s="14">
        <v>96000</v>
      </c>
      <c r="L59" s="14" t="str">
        <f ca="1">VLOOKUP(B59, 회원, 4, 0)</f>
        <v>변백현</v>
      </c>
      <c r="M59" s="14" t="str">
        <f ca="1">VLOOKUP(C59, 패키지, 3, 0)</f>
        <v>대구 룰루랄라 패키지</v>
      </c>
    </row>
    <row r="60" spans="1:13" x14ac:dyDescent="0.3">
      <c r="A60" s="14">
        <v>59</v>
      </c>
      <c r="B60" s="14">
        <v>18</v>
      </c>
      <c r="C60" s="14">
        <v>49</v>
      </c>
      <c r="D60" s="15">
        <v>44588</v>
      </c>
      <c r="E60" s="14">
        <v>0</v>
      </c>
      <c r="F60" s="14">
        <v>1</v>
      </c>
      <c r="G60" s="14">
        <v>0</v>
      </c>
      <c r="H60" s="14">
        <v>0</v>
      </c>
      <c r="I60" s="14">
        <v>24960</v>
      </c>
      <c r="J60" s="14">
        <v>0</v>
      </c>
      <c r="K60" s="14">
        <v>24960</v>
      </c>
      <c r="L60" s="14" t="str">
        <f ca="1">VLOOKUP(B60, 회원, 4, 0)</f>
        <v>이상구</v>
      </c>
      <c r="M60" s="14" t="str">
        <f ca="1">VLOOKUP(C60, 패키지, 3, 0)</f>
        <v>전북 최고 패키지</v>
      </c>
    </row>
    <row r="61" spans="1:13" x14ac:dyDescent="0.3">
      <c r="A61" s="14">
        <v>60</v>
      </c>
      <c r="B61" s="14">
        <v>21</v>
      </c>
      <c r="C61" s="14">
        <v>1</v>
      </c>
      <c r="D61" s="15">
        <v>44589</v>
      </c>
      <c r="E61" s="14">
        <v>0</v>
      </c>
      <c r="F61" s="14">
        <v>1</v>
      </c>
      <c r="G61" s="14">
        <v>5</v>
      </c>
      <c r="H61" s="14">
        <v>0</v>
      </c>
      <c r="I61" s="14">
        <v>14976</v>
      </c>
      <c r="J61" s="14">
        <v>56160</v>
      </c>
      <c r="K61" s="14">
        <v>71136</v>
      </c>
      <c r="L61" s="14" t="str">
        <f ca="1">VLOOKUP(B61, 회원, 4, 0)</f>
        <v>전자미</v>
      </c>
      <c r="M61" s="14" t="str">
        <f ca="1">VLOOKUP(C61, 패키지, 3, 0)</f>
        <v>강원 최고 패키지</v>
      </c>
    </row>
    <row r="62" spans="1:13" x14ac:dyDescent="0.3">
      <c r="A62" s="14">
        <v>61</v>
      </c>
      <c r="B62" s="14">
        <v>6</v>
      </c>
      <c r="C62" s="14">
        <v>56</v>
      </c>
      <c r="D62" s="15">
        <v>44589</v>
      </c>
      <c r="E62" s="14">
        <v>4</v>
      </c>
      <c r="F62" s="14">
        <v>5</v>
      </c>
      <c r="G62" s="14">
        <v>4</v>
      </c>
      <c r="H62" s="14">
        <v>89640</v>
      </c>
      <c r="I62" s="14">
        <v>89640</v>
      </c>
      <c r="J62" s="14">
        <v>53784</v>
      </c>
      <c r="K62" s="14">
        <v>233064</v>
      </c>
      <c r="L62" s="14" t="str">
        <f ca="1">VLOOKUP(B62, 회원, 4, 0)</f>
        <v>김성숙</v>
      </c>
      <c r="M62" s="14" t="str">
        <f ca="1">VLOOKUP(C62, 패키지, 3, 0)</f>
        <v>충북 반가워 패키지</v>
      </c>
    </row>
    <row r="63" spans="1:13" x14ac:dyDescent="0.3">
      <c r="A63" s="14">
        <v>62</v>
      </c>
      <c r="B63" s="14">
        <v>17</v>
      </c>
      <c r="C63" s="14">
        <v>33</v>
      </c>
      <c r="D63" s="15">
        <v>44589</v>
      </c>
      <c r="E63" s="14">
        <v>3</v>
      </c>
      <c r="F63" s="14">
        <v>2</v>
      </c>
      <c r="G63" s="14">
        <v>4</v>
      </c>
      <c r="H63" s="14">
        <v>40800</v>
      </c>
      <c r="I63" s="14">
        <v>21760</v>
      </c>
      <c r="J63" s="14">
        <v>32640</v>
      </c>
      <c r="K63" s="14">
        <v>95200</v>
      </c>
      <c r="L63" s="14" t="str">
        <f ca="1">VLOOKUP(B63, 회원, 4, 0)</f>
        <v>윤산하</v>
      </c>
      <c r="M63" s="14" t="str">
        <f ca="1">VLOOKUP(C63, 패키지, 3, 0)</f>
        <v>서울 룰루랄라 패키지</v>
      </c>
    </row>
    <row r="64" spans="1:13" x14ac:dyDescent="0.3">
      <c r="A64" s="14">
        <v>63</v>
      </c>
      <c r="B64" s="14">
        <v>14</v>
      </c>
      <c r="C64" s="14">
        <v>48</v>
      </c>
      <c r="D64" s="15">
        <v>44589</v>
      </c>
      <c r="E64" s="14">
        <v>3</v>
      </c>
      <c r="F64" s="14">
        <v>5</v>
      </c>
      <c r="G64" s="14">
        <v>2</v>
      </c>
      <c r="H64" s="14">
        <v>55200</v>
      </c>
      <c r="I64" s="14">
        <v>73600</v>
      </c>
      <c r="J64" s="14">
        <v>22080</v>
      </c>
      <c r="K64" s="14">
        <v>150880</v>
      </c>
      <c r="L64" s="14" t="str">
        <f ca="1">VLOOKUP(B64, 회원, 4, 0)</f>
        <v>배보라</v>
      </c>
      <c r="M64" s="14" t="str">
        <f ca="1">VLOOKUP(C64, 패키지, 3, 0)</f>
        <v>전북 선샤인 패키지</v>
      </c>
    </row>
    <row r="65" spans="1:13" x14ac:dyDescent="0.3">
      <c r="A65" s="14">
        <v>64</v>
      </c>
      <c r="B65" s="14">
        <v>13</v>
      </c>
      <c r="C65" s="14">
        <v>3</v>
      </c>
      <c r="D65" s="15">
        <v>44589</v>
      </c>
      <c r="E65" s="14">
        <v>4</v>
      </c>
      <c r="F65" s="14">
        <v>0</v>
      </c>
      <c r="G65" s="14">
        <v>4</v>
      </c>
      <c r="H65" s="14">
        <v>106880</v>
      </c>
      <c r="I65" s="14">
        <v>0</v>
      </c>
      <c r="J65" s="14">
        <v>64128</v>
      </c>
      <c r="K65" s="14">
        <v>171008</v>
      </c>
      <c r="L65" s="14" t="str">
        <f ca="1">VLOOKUP(B65, 회원, 4, 0)</f>
        <v>박지성</v>
      </c>
      <c r="M65" s="14" t="str">
        <f ca="1">VLOOKUP(C65, 패키지, 3, 0)</f>
        <v>강원 할인 패키지</v>
      </c>
    </row>
    <row r="66" spans="1:13" x14ac:dyDescent="0.3">
      <c r="A66" s="14">
        <v>65</v>
      </c>
      <c r="B66" s="14">
        <v>9</v>
      </c>
      <c r="C66" s="14">
        <v>22</v>
      </c>
      <c r="D66" s="15">
        <v>44591</v>
      </c>
      <c r="E66" s="14">
        <v>3</v>
      </c>
      <c r="F66" s="14">
        <v>2</v>
      </c>
      <c r="G66" s="14">
        <v>2</v>
      </c>
      <c r="H66" s="14">
        <v>37800</v>
      </c>
      <c r="I66" s="14">
        <v>20160</v>
      </c>
      <c r="J66" s="14">
        <v>15120</v>
      </c>
      <c r="K66" s="14">
        <v>73080</v>
      </c>
      <c r="L66" s="14" t="str">
        <f ca="1">VLOOKUP(B66, 회원, 4, 0)</f>
        <v>김철수</v>
      </c>
      <c r="M66" s="14" t="str">
        <f ca="1">VLOOKUP(C66, 패키지, 3, 0)</f>
        <v>대구 추억가득 패키지</v>
      </c>
    </row>
    <row r="67" spans="1:13" x14ac:dyDescent="0.3">
      <c r="A67" s="14">
        <v>66</v>
      </c>
      <c r="B67" s="14">
        <v>5</v>
      </c>
      <c r="C67" s="14">
        <v>46</v>
      </c>
      <c r="D67" s="15">
        <v>44591</v>
      </c>
      <c r="E67" s="14">
        <v>1</v>
      </c>
      <c r="F67" s="14">
        <v>4</v>
      </c>
      <c r="G67" s="14">
        <v>0</v>
      </c>
      <c r="H67" s="14">
        <v>22800</v>
      </c>
      <c r="I67" s="14">
        <v>72960</v>
      </c>
      <c r="J67" s="14">
        <v>0</v>
      </c>
      <c r="K67" s="14">
        <v>95760</v>
      </c>
      <c r="L67" s="14" t="str">
        <f ca="1">VLOOKUP(B67, 회원, 4, 0)</f>
        <v>김성대</v>
      </c>
      <c r="M67" s="14" t="str">
        <f ca="1">VLOOKUP(C67, 패키지, 3, 0)</f>
        <v>전남 해피 패키지</v>
      </c>
    </row>
    <row r="68" spans="1:13" x14ac:dyDescent="0.3">
      <c r="A68" s="14">
        <v>67</v>
      </c>
      <c r="B68" s="14">
        <v>5</v>
      </c>
      <c r="C68" s="14">
        <v>34</v>
      </c>
      <c r="D68" s="15">
        <v>44591</v>
      </c>
      <c r="E68" s="14">
        <v>4</v>
      </c>
      <c r="F68" s="14">
        <v>0</v>
      </c>
      <c r="G68" s="14">
        <v>3</v>
      </c>
      <c r="H68" s="14">
        <v>107200</v>
      </c>
      <c r="I68" s="14">
        <v>0</v>
      </c>
      <c r="J68" s="14">
        <v>48240</v>
      </c>
      <c r="K68" s="14">
        <v>155440</v>
      </c>
      <c r="L68" s="14" t="str">
        <f ca="1">VLOOKUP(B68, 회원, 4, 0)</f>
        <v>김성대</v>
      </c>
      <c r="M68" s="14" t="str">
        <f ca="1">VLOOKUP(C68, 패키지, 3, 0)</f>
        <v>서울 베스트 패키지</v>
      </c>
    </row>
    <row r="69" spans="1:13" x14ac:dyDescent="0.3">
      <c r="A69" s="14">
        <v>68</v>
      </c>
      <c r="B69" s="14">
        <v>6</v>
      </c>
      <c r="C69" s="14">
        <v>39</v>
      </c>
      <c r="D69" s="15">
        <v>44592</v>
      </c>
      <c r="E69" s="14">
        <v>1</v>
      </c>
      <c r="F69" s="14">
        <v>1</v>
      </c>
      <c r="G69" s="14">
        <v>4</v>
      </c>
      <c r="H69" s="14">
        <v>18900</v>
      </c>
      <c r="I69" s="14">
        <v>15120</v>
      </c>
      <c r="J69" s="14">
        <v>45360</v>
      </c>
      <c r="K69" s="14">
        <v>79380</v>
      </c>
      <c r="L69" s="14" t="str">
        <f ca="1">VLOOKUP(B69, 회원, 4, 0)</f>
        <v>김성숙</v>
      </c>
      <c r="M69" s="14" t="str">
        <f ca="1">VLOOKUP(C69, 패키지, 3, 0)</f>
        <v>울산 카페투어 패키지</v>
      </c>
    </row>
    <row r="70" spans="1:13" x14ac:dyDescent="0.3">
      <c r="A70" s="14">
        <v>69</v>
      </c>
      <c r="B70" s="14">
        <v>20</v>
      </c>
      <c r="C70" s="14">
        <v>21</v>
      </c>
      <c r="D70" s="15">
        <v>44592</v>
      </c>
      <c r="E70" s="14">
        <v>0</v>
      </c>
      <c r="F70" s="14">
        <v>2</v>
      </c>
      <c r="G70" s="14">
        <v>5</v>
      </c>
      <c r="H70" s="14">
        <v>0</v>
      </c>
      <c r="I70" s="14">
        <v>32000</v>
      </c>
      <c r="J70" s="14">
        <v>60000</v>
      </c>
      <c r="K70" s="14">
        <v>92000</v>
      </c>
      <c r="L70" s="14" t="str">
        <f ca="1">VLOOKUP(B70, 회원, 4, 0)</f>
        <v>이영주</v>
      </c>
      <c r="M70" s="14" t="str">
        <f ca="1">VLOOKUP(C70, 패키지, 3, 0)</f>
        <v>대구 룰루랄라 패키지</v>
      </c>
    </row>
    <row r="71" spans="1:13" x14ac:dyDescent="0.3">
      <c r="A71" s="14">
        <v>70</v>
      </c>
      <c r="B71" s="14">
        <v>10</v>
      </c>
      <c r="C71" s="14">
        <v>19</v>
      </c>
      <c r="D71" s="15">
        <v>44592</v>
      </c>
      <c r="E71" s="14">
        <v>1</v>
      </c>
      <c r="F71" s="14">
        <v>3</v>
      </c>
      <c r="G71" s="14">
        <v>1</v>
      </c>
      <c r="H71" s="14">
        <v>18900</v>
      </c>
      <c r="I71" s="14">
        <v>45360</v>
      </c>
      <c r="J71" s="14">
        <v>11340</v>
      </c>
      <c r="K71" s="14">
        <v>75600</v>
      </c>
      <c r="L71" s="14" t="str">
        <f ca="1">VLOOKUP(B71, 회원, 4, 0)</f>
        <v>나종대</v>
      </c>
      <c r="M71" s="14" t="str">
        <f ca="1">VLOOKUP(C71, 패키지, 3, 0)</f>
        <v>광주 해피 패키지</v>
      </c>
    </row>
    <row r="72" spans="1:13" x14ac:dyDescent="0.3">
      <c r="A72" s="14">
        <v>71</v>
      </c>
      <c r="B72" s="14">
        <v>15</v>
      </c>
      <c r="C72" s="14">
        <v>29</v>
      </c>
      <c r="D72" s="15">
        <v>44593</v>
      </c>
      <c r="E72" s="14">
        <v>3</v>
      </c>
      <c r="F72" s="14">
        <v>4</v>
      </c>
      <c r="G72" s="14">
        <v>5</v>
      </c>
      <c r="H72" s="14">
        <v>33600</v>
      </c>
      <c r="I72" s="14">
        <v>35840</v>
      </c>
      <c r="J72" s="14">
        <v>33600</v>
      </c>
      <c r="K72" s="14">
        <v>103040</v>
      </c>
      <c r="L72" s="14" t="str">
        <f ca="1">VLOOKUP(B72, 회원, 4, 0)</f>
        <v>변백현</v>
      </c>
      <c r="M72" s="14" t="str">
        <f ca="1">VLOOKUP(C72, 패키지, 3, 0)</f>
        <v>부산 해피 패키지</v>
      </c>
    </row>
    <row r="73" spans="1:13" x14ac:dyDescent="0.3">
      <c r="A73" s="14">
        <v>72</v>
      </c>
      <c r="B73" s="14">
        <v>16</v>
      </c>
      <c r="C73" s="14">
        <v>36</v>
      </c>
      <c r="D73" s="15">
        <v>44594</v>
      </c>
      <c r="E73" s="14">
        <v>1</v>
      </c>
      <c r="F73" s="14">
        <v>3</v>
      </c>
      <c r="G73" s="14">
        <v>0</v>
      </c>
      <c r="H73" s="14">
        <v>20250</v>
      </c>
      <c r="I73" s="14">
        <v>48600</v>
      </c>
      <c r="J73" s="14">
        <v>0</v>
      </c>
      <c r="K73" s="14">
        <v>68850</v>
      </c>
      <c r="L73" s="14" t="str">
        <f ca="1">VLOOKUP(B73, 회원, 4, 0)</f>
        <v>유하나</v>
      </c>
      <c r="M73" s="14" t="str">
        <f ca="1">VLOOKUP(C73, 패키지, 3, 0)</f>
        <v>서울 즐거운 패키지</v>
      </c>
    </row>
    <row r="74" spans="1:13" x14ac:dyDescent="0.3">
      <c r="A74" s="14">
        <v>73</v>
      </c>
      <c r="B74" s="14">
        <v>8</v>
      </c>
      <c r="C74" s="14">
        <v>40</v>
      </c>
      <c r="D74" s="15">
        <v>44594</v>
      </c>
      <c r="E74" s="14">
        <v>4</v>
      </c>
      <c r="F74" s="14">
        <v>5</v>
      </c>
      <c r="G74" s="14">
        <v>4</v>
      </c>
      <c r="H74" s="14">
        <v>102400</v>
      </c>
      <c r="I74" s="14">
        <v>102400</v>
      </c>
      <c r="J74" s="14">
        <v>61440</v>
      </c>
      <c r="K74" s="14">
        <v>266240</v>
      </c>
      <c r="L74" s="14" t="str">
        <f ca="1">VLOOKUP(B74, 회원, 4, 0)</f>
        <v>김연우</v>
      </c>
      <c r="M74" s="14" t="str">
        <f ca="1">VLOOKUP(C74, 패키지, 3, 0)</f>
        <v>울산 선샤인 패키지</v>
      </c>
    </row>
    <row r="75" spans="1:13" x14ac:dyDescent="0.3">
      <c r="A75" s="14">
        <v>74</v>
      </c>
      <c r="B75" s="14">
        <v>20</v>
      </c>
      <c r="C75" s="14">
        <v>30</v>
      </c>
      <c r="D75" s="15">
        <v>44595</v>
      </c>
      <c r="E75" s="14">
        <v>2</v>
      </c>
      <c r="F75" s="14">
        <v>0</v>
      </c>
      <c r="G75" s="14">
        <v>1</v>
      </c>
      <c r="H75" s="14">
        <v>33600</v>
      </c>
      <c r="I75" s="14">
        <v>0</v>
      </c>
      <c r="J75" s="14">
        <v>10080</v>
      </c>
      <c r="K75" s="14">
        <v>43680</v>
      </c>
      <c r="L75" s="14" t="str">
        <f ca="1">VLOOKUP(B75, 회원, 4, 0)</f>
        <v>이영주</v>
      </c>
      <c r="M75" s="14" t="str">
        <f ca="1">VLOOKUP(C75, 패키지, 3, 0)</f>
        <v>부산 룰루랄라 패키지</v>
      </c>
    </row>
    <row r="76" spans="1:13" x14ac:dyDescent="0.3">
      <c r="A76" s="14">
        <v>75</v>
      </c>
      <c r="B76" s="14">
        <v>3</v>
      </c>
      <c r="C76" s="14">
        <v>14</v>
      </c>
      <c r="D76" s="15">
        <v>44595</v>
      </c>
      <c r="E76" s="14">
        <v>0</v>
      </c>
      <c r="F76" s="14">
        <v>0</v>
      </c>
      <c r="G76" s="14">
        <v>3</v>
      </c>
      <c r="H76" s="14">
        <v>0</v>
      </c>
      <c r="I76" s="14">
        <v>0</v>
      </c>
      <c r="J76" s="14">
        <v>50400</v>
      </c>
      <c r="K76" s="14">
        <v>50400</v>
      </c>
      <c r="L76" s="14" t="str">
        <f ca="1">VLOOKUP(B76, 회원, 4, 0)</f>
        <v>김경영</v>
      </c>
      <c r="M76" s="14" t="str">
        <f ca="1">VLOOKUP(C76, 패키지, 3, 0)</f>
        <v>경북 최고 패키지</v>
      </c>
    </row>
    <row r="77" spans="1:13" x14ac:dyDescent="0.3">
      <c r="A77" s="14">
        <v>76</v>
      </c>
      <c r="B77" s="14">
        <v>1</v>
      </c>
      <c r="C77" s="14">
        <v>54</v>
      </c>
      <c r="D77" s="15">
        <v>44596</v>
      </c>
      <c r="E77" s="14">
        <v>3</v>
      </c>
      <c r="F77" s="14">
        <v>4</v>
      </c>
      <c r="G77" s="14">
        <v>5</v>
      </c>
      <c r="H77" s="14">
        <v>66420</v>
      </c>
      <c r="I77" s="14">
        <v>70848</v>
      </c>
      <c r="J77" s="14">
        <v>66420</v>
      </c>
      <c r="K77" s="14">
        <v>203688</v>
      </c>
      <c r="L77" s="14" t="str">
        <f ca="1">VLOOKUP(B77, 회원, 4, 0)</f>
        <v>감예쁨</v>
      </c>
      <c r="M77" s="14" t="str">
        <f ca="1">VLOOKUP(C77, 패키지, 3, 0)</f>
        <v>충남 베스트 패키지</v>
      </c>
    </row>
    <row r="78" spans="1:13" x14ac:dyDescent="0.3">
      <c r="A78" s="14">
        <v>77</v>
      </c>
      <c r="B78" s="14">
        <v>12</v>
      </c>
      <c r="C78" s="14">
        <v>50</v>
      </c>
      <c r="D78" s="15">
        <v>44597</v>
      </c>
      <c r="E78" s="14">
        <v>5</v>
      </c>
      <c r="F78" s="14">
        <v>2</v>
      </c>
      <c r="G78" s="14">
        <v>2</v>
      </c>
      <c r="H78" s="14">
        <v>171000</v>
      </c>
      <c r="I78" s="14">
        <v>54720</v>
      </c>
      <c r="J78" s="14">
        <v>41040</v>
      </c>
      <c r="K78" s="14">
        <v>266760</v>
      </c>
      <c r="L78" s="14" t="str">
        <f ca="1">VLOOKUP(B78, 회원, 4, 0)</f>
        <v>박아름</v>
      </c>
      <c r="M78" s="14" t="str">
        <f ca="1">VLOOKUP(C78, 패키지, 3, 0)</f>
        <v>전북 맛집 패키지</v>
      </c>
    </row>
    <row r="79" spans="1:13" x14ac:dyDescent="0.3">
      <c r="A79" s="14">
        <v>78</v>
      </c>
      <c r="B79" s="14">
        <v>19</v>
      </c>
      <c r="C79" s="14">
        <v>18</v>
      </c>
      <c r="D79" s="15">
        <v>44597</v>
      </c>
      <c r="E79" s="14">
        <v>1</v>
      </c>
      <c r="F79" s="14">
        <v>0</v>
      </c>
      <c r="G79" s="14">
        <v>0</v>
      </c>
      <c r="H79" s="14">
        <v>26100</v>
      </c>
      <c r="I79" s="14">
        <v>0</v>
      </c>
      <c r="J79" s="14">
        <v>0</v>
      </c>
      <c r="K79" s="14">
        <v>26100</v>
      </c>
      <c r="L79" s="14" t="str">
        <f ca="1">VLOOKUP(B79, 회원, 4, 0)</f>
        <v>이소윤</v>
      </c>
      <c r="M79" s="14" t="str">
        <f ca="1">VLOOKUP(C79, 패키지, 3, 0)</f>
        <v>경북 행복한 패키지</v>
      </c>
    </row>
    <row r="80" spans="1:13" x14ac:dyDescent="0.3">
      <c r="A80" s="14">
        <v>79</v>
      </c>
      <c r="B80" s="14">
        <v>16</v>
      </c>
      <c r="C80" s="14">
        <v>40</v>
      </c>
      <c r="D80" s="15">
        <v>44599</v>
      </c>
      <c r="E80" s="14">
        <v>3</v>
      </c>
      <c r="F80" s="14">
        <v>4</v>
      </c>
      <c r="G80" s="14">
        <v>2</v>
      </c>
      <c r="H80" s="14">
        <v>76800</v>
      </c>
      <c r="I80" s="14">
        <v>81920</v>
      </c>
      <c r="J80" s="14">
        <v>30720</v>
      </c>
      <c r="K80" s="14">
        <v>189440</v>
      </c>
      <c r="L80" s="14" t="str">
        <f ca="1">VLOOKUP(B80, 회원, 4, 0)</f>
        <v>유하나</v>
      </c>
      <c r="M80" s="14" t="str">
        <f ca="1">VLOOKUP(C80, 패키지, 3, 0)</f>
        <v>울산 선샤인 패키지</v>
      </c>
    </row>
    <row r="81" spans="1:13" x14ac:dyDescent="0.3">
      <c r="A81" s="14">
        <v>80</v>
      </c>
      <c r="B81" s="14">
        <v>2</v>
      </c>
      <c r="C81" s="14">
        <v>43</v>
      </c>
      <c r="D81" s="15">
        <v>44599</v>
      </c>
      <c r="E81" s="14">
        <v>1</v>
      </c>
      <c r="F81" s="14">
        <v>4</v>
      </c>
      <c r="G81" s="14">
        <v>3</v>
      </c>
      <c r="H81" s="14">
        <v>21600</v>
      </c>
      <c r="I81" s="14">
        <v>69120</v>
      </c>
      <c r="J81" s="14">
        <v>38880</v>
      </c>
      <c r="K81" s="14">
        <v>129600</v>
      </c>
      <c r="L81" s="14" t="str">
        <f ca="1">VLOOKUP(B81, 회원, 4, 0)</f>
        <v>강딸기</v>
      </c>
      <c r="M81" s="14" t="str">
        <f ca="1">VLOOKUP(C81, 패키지, 3, 0)</f>
        <v>인천 선샤인 패키지</v>
      </c>
    </row>
    <row r="82" spans="1:13" x14ac:dyDescent="0.3">
      <c r="A82" s="14">
        <v>81</v>
      </c>
      <c r="B82" s="14">
        <v>10</v>
      </c>
      <c r="C82" s="14">
        <v>42</v>
      </c>
      <c r="D82" s="15">
        <v>44599</v>
      </c>
      <c r="E82" s="14">
        <v>0</v>
      </c>
      <c r="F82" s="14">
        <v>1</v>
      </c>
      <c r="G82" s="14">
        <v>5</v>
      </c>
      <c r="H82" s="14">
        <v>0</v>
      </c>
      <c r="I82" s="14">
        <v>5760</v>
      </c>
      <c r="J82" s="14">
        <v>21600</v>
      </c>
      <c r="K82" s="14">
        <v>27360</v>
      </c>
      <c r="L82" s="14" t="str">
        <f ca="1">VLOOKUP(B82, 회원, 4, 0)</f>
        <v>나종대</v>
      </c>
      <c r="M82" s="14" t="str">
        <f ca="1">VLOOKUP(C82, 패키지, 3, 0)</f>
        <v>인천 행복한 패키지</v>
      </c>
    </row>
    <row r="83" spans="1:13" x14ac:dyDescent="0.3">
      <c r="A83" s="14">
        <v>82</v>
      </c>
      <c r="B83" s="14">
        <v>25</v>
      </c>
      <c r="C83" s="14">
        <v>23</v>
      </c>
      <c r="D83" s="15">
        <v>44600</v>
      </c>
      <c r="E83" s="14">
        <v>0</v>
      </c>
      <c r="F83" s="14">
        <v>2</v>
      </c>
      <c r="G83" s="14">
        <v>5</v>
      </c>
      <c r="H83" s="14">
        <v>0</v>
      </c>
      <c r="I83" s="14">
        <v>10080</v>
      </c>
      <c r="J83" s="14">
        <v>18900</v>
      </c>
      <c r="K83" s="14">
        <v>28980</v>
      </c>
      <c r="L83" s="14" t="str">
        <f ca="1">VLOOKUP(B83, 회원, 4, 0)</f>
        <v>홍길동</v>
      </c>
      <c r="M83" s="14" t="str">
        <f ca="1">VLOOKUP(C83, 패키지, 3, 0)</f>
        <v>대전 반가워 패키지</v>
      </c>
    </row>
    <row r="84" spans="1:13" x14ac:dyDescent="0.3">
      <c r="A84" s="14">
        <v>83</v>
      </c>
      <c r="B84" s="14">
        <v>10</v>
      </c>
      <c r="C84" s="14">
        <v>45</v>
      </c>
      <c r="D84" s="15">
        <v>44601</v>
      </c>
      <c r="E84" s="14">
        <v>0</v>
      </c>
      <c r="F84" s="14">
        <v>5</v>
      </c>
      <c r="G84" s="14">
        <v>3</v>
      </c>
      <c r="H84" s="14">
        <v>0</v>
      </c>
      <c r="I84" s="14">
        <v>79200</v>
      </c>
      <c r="J84" s="14">
        <v>35640</v>
      </c>
      <c r="K84" s="14">
        <v>114840</v>
      </c>
      <c r="L84" s="14" t="str">
        <f ca="1">VLOOKUP(B84, 회원, 4, 0)</f>
        <v>나종대</v>
      </c>
      <c r="M84" s="14" t="str">
        <f ca="1">VLOOKUP(C84, 패키지, 3, 0)</f>
        <v>전남 선샤인 패키지</v>
      </c>
    </row>
    <row r="85" spans="1:13" x14ac:dyDescent="0.3">
      <c r="A85" s="14">
        <v>84</v>
      </c>
      <c r="B85" s="14">
        <v>7</v>
      </c>
      <c r="C85" s="14">
        <v>57</v>
      </c>
      <c r="D85" s="15">
        <v>44602</v>
      </c>
      <c r="E85" s="14">
        <v>2</v>
      </c>
      <c r="F85" s="14">
        <v>0</v>
      </c>
      <c r="G85" s="14">
        <v>3</v>
      </c>
      <c r="H85" s="14">
        <v>40160</v>
      </c>
      <c r="I85" s="14">
        <v>0</v>
      </c>
      <c r="J85" s="14">
        <v>36144</v>
      </c>
      <c r="K85" s="14">
        <v>76304</v>
      </c>
      <c r="L85" s="14" t="str">
        <f ca="1">VLOOKUP(B85, 회원, 4, 0)</f>
        <v>김숙희</v>
      </c>
      <c r="M85" s="14" t="str">
        <f ca="1">VLOOKUP(C85, 패키지, 3, 0)</f>
        <v>충북 베스트 패키지</v>
      </c>
    </row>
    <row r="86" spans="1:13" x14ac:dyDescent="0.3">
      <c r="A86" s="14">
        <v>85</v>
      </c>
      <c r="B86" s="14">
        <v>26</v>
      </c>
      <c r="C86" s="14">
        <v>15</v>
      </c>
      <c r="D86" s="15">
        <v>44604</v>
      </c>
      <c r="E86" s="14">
        <v>4</v>
      </c>
      <c r="F86" s="14">
        <v>1</v>
      </c>
      <c r="G86" s="14">
        <v>1</v>
      </c>
      <c r="H86" s="14">
        <v>75600</v>
      </c>
      <c r="I86" s="14">
        <v>15120</v>
      </c>
      <c r="J86" s="14">
        <v>11340</v>
      </c>
      <c r="K86" s="14">
        <v>102060</v>
      </c>
      <c r="L86" s="14" t="str">
        <f ca="1">VLOOKUP(B86, 회원, 4, 0)</f>
        <v>홍성장</v>
      </c>
      <c r="M86" s="14" t="str">
        <f ca="1">VLOOKUP(C86, 패키지, 3, 0)</f>
        <v>경북 맛집 패키지</v>
      </c>
    </row>
    <row r="87" spans="1:13" x14ac:dyDescent="0.3">
      <c r="A87" s="14">
        <v>86</v>
      </c>
      <c r="B87" s="14">
        <v>10</v>
      </c>
      <c r="C87" s="14">
        <v>16</v>
      </c>
      <c r="D87" s="15">
        <v>44604</v>
      </c>
      <c r="E87" s="14">
        <v>3</v>
      </c>
      <c r="F87" s="14">
        <v>5</v>
      </c>
      <c r="G87" s="14">
        <v>4</v>
      </c>
      <c r="H87" s="14">
        <v>93600</v>
      </c>
      <c r="I87" s="14">
        <v>124800</v>
      </c>
      <c r="J87" s="14">
        <v>74880</v>
      </c>
      <c r="K87" s="14">
        <v>293280</v>
      </c>
      <c r="L87" s="14" t="str">
        <f ca="1">VLOOKUP(B87, 회원, 4, 0)</f>
        <v>나종대</v>
      </c>
      <c r="M87" s="14" t="str">
        <f ca="1">VLOOKUP(C87, 패키지, 3, 0)</f>
        <v>경북 즐거운 패키지</v>
      </c>
    </row>
    <row r="88" spans="1:13" x14ac:dyDescent="0.3">
      <c r="A88" s="14">
        <v>87</v>
      </c>
      <c r="B88" s="14">
        <v>11</v>
      </c>
      <c r="C88" s="14">
        <v>21</v>
      </c>
      <c r="D88" s="15">
        <v>44605</v>
      </c>
      <c r="E88" s="14">
        <v>5</v>
      </c>
      <c r="F88" s="14">
        <v>5</v>
      </c>
      <c r="G88" s="14">
        <v>1</v>
      </c>
      <c r="H88" s="14">
        <v>100000</v>
      </c>
      <c r="I88" s="14">
        <v>80000</v>
      </c>
      <c r="J88" s="14">
        <v>12000</v>
      </c>
      <c r="K88" s="14">
        <v>192000</v>
      </c>
      <c r="L88" s="14" t="str">
        <f ca="1">VLOOKUP(B88, 회원, 4, 0)</f>
        <v>남정휴</v>
      </c>
      <c r="M88" s="14" t="str">
        <f ca="1">VLOOKUP(C88, 패키지, 3, 0)</f>
        <v>대구 룰루랄라 패키지</v>
      </c>
    </row>
    <row r="89" spans="1:13" x14ac:dyDescent="0.3">
      <c r="A89" s="14">
        <v>88</v>
      </c>
      <c r="B89" s="14">
        <v>22</v>
      </c>
      <c r="C89" s="14">
        <v>13</v>
      </c>
      <c r="D89" s="15">
        <v>44605</v>
      </c>
      <c r="E89" s="14">
        <v>1</v>
      </c>
      <c r="F89" s="14">
        <v>3</v>
      </c>
      <c r="G89" s="14">
        <v>2</v>
      </c>
      <c r="H89" s="14">
        <v>37600</v>
      </c>
      <c r="I89" s="14">
        <v>90240</v>
      </c>
      <c r="J89" s="14">
        <v>45120</v>
      </c>
      <c r="K89" s="14">
        <v>172960</v>
      </c>
      <c r="L89" s="14" t="str">
        <f ca="1">VLOOKUP(B89, 회원, 4, 0)</f>
        <v>조민성</v>
      </c>
      <c r="M89" s="14" t="str">
        <f ca="1">VLOOKUP(C89, 패키지, 3, 0)</f>
        <v>경남 즐거운 패키지</v>
      </c>
    </row>
    <row r="90" spans="1:13" x14ac:dyDescent="0.3">
      <c r="A90" s="14">
        <v>89</v>
      </c>
      <c r="B90" s="14">
        <v>2</v>
      </c>
      <c r="C90" s="14">
        <v>46</v>
      </c>
      <c r="D90" s="15">
        <v>44606</v>
      </c>
      <c r="E90" s="14">
        <v>5</v>
      </c>
      <c r="F90" s="14">
        <v>2</v>
      </c>
      <c r="G90" s="14">
        <v>2</v>
      </c>
      <c r="H90" s="14">
        <v>114000</v>
      </c>
      <c r="I90" s="14">
        <v>36480</v>
      </c>
      <c r="J90" s="14">
        <v>27360</v>
      </c>
      <c r="K90" s="14">
        <v>177840</v>
      </c>
      <c r="L90" s="14" t="str">
        <f ca="1">VLOOKUP(B90, 회원, 4, 0)</f>
        <v>강딸기</v>
      </c>
      <c r="M90" s="14" t="str">
        <f ca="1">VLOOKUP(C90, 패키지, 3, 0)</f>
        <v>전남 해피 패키지</v>
      </c>
    </row>
    <row r="91" spans="1:13" x14ac:dyDescent="0.3">
      <c r="A91" s="14">
        <v>90</v>
      </c>
      <c r="B91" s="14">
        <v>4</v>
      </c>
      <c r="C91" s="14">
        <v>32</v>
      </c>
      <c r="D91" s="15">
        <v>44606</v>
      </c>
      <c r="E91" s="14">
        <v>2</v>
      </c>
      <c r="F91" s="14">
        <v>2</v>
      </c>
      <c r="G91" s="14">
        <v>0</v>
      </c>
      <c r="H91" s="14">
        <v>51000</v>
      </c>
      <c r="I91" s="14">
        <v>40800</v>
      </c>
      <c r="J91" s="14">
        <v>0</v>
      </c>
      <c r="K91" s="14">
        <v>91800</v>
      </c>
      <c r="L91" s="14" t="str">
        <f ca="1">VLOOKUP(B91, 회원, 4, 0)</f>
        <v>김설아</v>
      </c>
      <c r="M91" s="14" t="str">
        <f ca="1">VLOOKUP(C91, 패키지, 3, 0)</f>
        <v>서울 반가워 패키지</v>
      </c>
    </row>
    <row r="92" spans="1:13" x14ac:dyDescent="0.3">
      <c r="A92" s="14">
        <v>91</v>
      </c>
      <c r="B92" s="14">
        <v>13</v>
      </c>
      <c r="C92" s="14">
        <v>38</v>
      </c>
      <c r="D92" s="15">
        <v>44606</v>
      </c>
      <c r="E92" s="14">
        <v>3</v>
      </c>
      <c r="F92" s="14">
        <v>3</v>
      </c>
      <c r="G92" s="14">
        <v>2</v>
      </c>
      <c r="H92" s="14">
        <v>21600</v>
      </c>
      <c r="I92" s="14">
        <v>17280</v>
      </c>
      <c r="J92" s="14">
        <v>8640</v>
      </c>
      <c r="K92" s="14">
        <v>47520</v>
      </c>
      <c r="L92" s="14" t="str">
        <f ca="1">VLOOKUP(B92, 회원, 4, 0)</f>
        <v>박지성</v>
      </c>
      <c r="M92" s="14" t="str">
        <f ca="1">VLOOKUP(C92, 패키지, 3, 0)</f>
        <v>세종 또만나 패키지</v>
      </c>
    </row>
    <row r="93" spans="1:13" x14ac:dyDescent="0.3">
      <c r="A93" s="14">
        <v>92</v>
      </c>
      <c r="B93" s="14">
        <v>13</v>
      </c>
      <c r="C93" s="14">
        <v>49</v>
      </c>
      <c r="D93" s="15">
        <v>44607</v>
      </c>
      <c r="E93" s="14">
        <v>2</v>
      </c>
      <c r="F93" s="14">
        <v>5</v>
      </c>
      <c r="G93" s="14">
        <v>3</v>
      </c>
      <c r="H93" s="14">
        <v>62400</v>
      </c>
      <c r="I93" s="14">
        <v>124800</v>
      </c>
      <c r="J93" s="14">
        <v>56160</v>
      </c>
      <c r="K93" s="14">
        <v>243360</v>
      </c>
      <c r="L93" s="14" t="str">
        <f ca="1">VLOOKUP(B93, 회원, 4, 0)</f>
        <v>박지성</v>
      </c>
      <c r="M93" s="14" t="str">
        <f ca="1">VLOOKUP(C93, 패키지, 3, 0)</f>
        <v>전북 최고 패키지</v>
      </c>
    </row>
    <row r="94" spans="1:13" x14ac:dyDescent="0.3">
      <c r="A94" s="14">
        <v>93</v>
      </c>
      <c r="B94" s="14">
        <v>24</v>
      </c>
      <c r="C94" s="14">
        <v>36</v>
      </c>
      <c r="D94" s="15">
        <v>44608</v>
      </c>
      <c r="E94" s="14">
        <v>4</v>
      </c>
      <c r="F94" s="14">
        <v>0</v>
      </c>
      <c r="G94" s="14">
        <v>3</v>
      </c>
      <c r="H94" s="14">
        <v>81000</v>
      </c>
      <c r="I94" s="14">
        <v>0</v>
      </c>
      <c r="J94" s="14">
        <v>36450</v>
      </c>
      <c r="K94" s="14">
        <v>117450</v>
      </c>
      <c r="L94" s="14" t="str">
        <f ca="1">VLOOKUP(B94, 회원, 4, 0)</f>
        <v>하주연</v>
      </c>
      <c r="M94" s="14" t="str">
        <f ca="1">VLOOKUP(C94, 패키지, 3, 0)</f>
        <v>서울 즐거운 패키지</v>
      </c>
    </row>
    <row r="95" spans="1:13" x14ac:dyDescent="0.3">
      <c r="A95" s="14">
        <v>94</v>
      </c>
      <c r="B95" s="14">
        <v>25</v>
      </c>
      <c r="C95" s="14">
        <v>19</v>
      </c>
      <c r="D95" s="15">
        <v>44609</v>
      </c>
      <c r="E95" s="14">
        <v>2</v>
      </c>
      <c r="F95" s="14">
        <v>5</v>
      </c>
      <c r="G95" s="14">
        <v>3</v>
      </c>
      <c r="H95" s="14">
        <v>37800</v>
      </c>
      <c r="I95" s="14">
        <v>75600</v>
      </c>
      <c r="J95" s="14">
        <v>34020</v>
      </c>
      <c r="K95" s="14">
        <v>147420</v>
      </c>
      <c r="L95" s="14" t="str">
        <f ca="1">VLOOKUP(B95, 회원, 4, 0)</f>
        <v>홍길동</v>
      </c>
      <c r="M95" s="14" t="str">
        <f ca="1">VLOOKUP(C95, 패키지, 3, 0)</f>
        <v>광주 해피 패키지</v>
      </c>
    </row>
    <row r="96" spans="1:13" x14ac:dyDescent="0.3">
      <c r="A96" s="14">
        <v>95</v>
      </c>
      <c r="B96" s="14">
        <v>4</v>
      </c>
      <c r="C96" s="14">
        <v>22</v>
      </c>
      <c r="D96" s="15">
        <v>44609</v>
      </c>
      <c r="E96" s="14">
        <v>4</v>
      </c>
      <c r="F96" s="14">
        <v>3</v>
      </c>
      <c r="G96" s="14">
        <v>3</v>
      </c>
      <c r="H96" s="14">
        <v>50400</v>
      </c>
      <c r="I96" s="14">
        <v>30240</v>
      </c>
      <c r="J96" s="14">
        <v>22680</v>
      </c>
      <c r="K96" s="14">
        <v>103320</v>
      </c>
      <c r="L96" s="14" t="str">
        <f ca="1">VLOOKUP(B96, 회원, 4, 0)</f>
        <v>김설아</v>
      </c>
      <c r="M96" s="14" t="str">
        <f ca="1">VLOOKUP(C96, 패키지, 3, 0)</f>
        <v>대구 추억가득 패키지</v>
      </c>
    </row>
    <row r="97" spans="1:13" x14ac:dyDescent="0.3">
      <c r="A97" s="14">
        <v>96</v>
      </c>
      <c r="B97" s="14">
        <v>13</v>
      </c>
      <c r="C97" s="14">
        <v>29</v>
      </c>
      <c r="D97" s="15">
        <v>44609</v>
      </c>
      <c r="E97" s="14">
        <v>3</v>
      </c>
      <c r="F97" s="14">
        <v>3</v>
      </c>
      <c r="G97" s="14">
        <v>2</v>
      </c>
      <c r="H97" s="14">
        <v>33600</v>
      </c>
      <c r="I97" s="14">
        <v>26880</v>
      </c>
      <c r="J97" s="14">
        <v>13440</v>
      </c>
      <c r="K97" s="14">
        <v>73920</v>
      </c>
      <c r="L97" s="14" t="str">
        <f ca="1">VLOOKUP(B97, 회원, 4, 0)</f>
        <v>박지성</v>
      </c>
      <c r="M97" s="14" t="str">
        <f ca="1">VLOOKUP(C97, 패키지, 3, 0)</f>
        <v>부산 해피 패키지</v>
      </c>
    </row>
    <row r="98" spans="1:13" x14ac:dyDescent="0.3">
      <c r="A98" s="14">
        <v>97</v>
      </c>
      <c r="B98" s="14">
        <v>3</v>
      </c>
      <c r="C98" s="14">
        <v>10</v>
      </c>
      <c r="D98" s="15">
        <v>44609</v>
      </c>
      <c r="E98" s="14">
        <v>2</v>
      </c>
      <c r="F98" s="14">
        <v>3</v>
      </c>
      <c r="G98" s="14">
        <v>2</v>
      </c>
      <c r="H98" s="14">
        <v>44800</v>
      </c>
      <c r="I98" s="14">
        <v>53760</v>
      </c>
      <c r="J98" s="14">
        <v>26880</v>
      </c>
      <c r="K98" s="14">
        <v>125440</v>
      </c>
      <c r="L98" s="14" t="str">
        <f ca="1">VLOOKUP(B98, 회원, 4, 0)</f>
        <v>김경영</v>
      </c>
      <c r="M98" s="14" t="str">
        <f ca="1">VLOOKUP(C98, 패키지, 3, 0)</f>
        <v>경남 추억 패키지</v>
      </c>
    </row>
    <row r="99" spans="1:13" x14ac:dyDescent="0.3">
      <c r="A99" s="14">
        <v>98</v>
      </c>
      <c r="B99" s="14">
        <v>9</v>
      </c>
      <c r="C99" s="14">
        <v>47</v>
      </c>
      <c r="D99" s="15">
        <v>44609</v>
      </c>
      <c r="E99" s="14">
        <v>5</v>
      </c>
      <c r="F99" s="14">
        <v>2</v>
      </c>
      <c r="G99" s="14">
        <v>2</v>
      </c>
      <c r="H99" s="14">
        <v>58500</v>
      </c>
      <c r="I99" s="14">
        <v>18720</v>
      </c>
      <c r="J99" s="14">
        <v>14040</v>
      </c>
      <c r="K99" s="14">
        <v>91260</v>
      </c>
      <c r="L99" s="14" t="str">
        <f ca="1">VLOOKUP(B99, 회원, 4, 0)</f>
        <v>김철수</v>
      </c>
      <c r="M99" s="14" t="str">
        <f ca="1">VLOOKUP(C99, 패키지, 3, 0)</f>
        <v>전남 맛집 패키지</v>
      </c>
    </row>
    <row r="100" spans="1:13" x14ac:dyDescent="0.3">
      <c r="A100" s="14">
        <v>99</v>
      </c>
      <c r="B100" s="14">
        <v>12</v>
      </c>
      <c r="C100" s="14">
        <v>55</v>
      </c>
      <c r="D100" s="15">
        <v>44609</v>
      </c>
      <c r="E100" s="14">
        <v>3</v>
      </c>
      <c r="F100" s="14">
        <v>4</v>
      </c>
      <c r="G100" s="14">
        <v>1</v>
      </c>
      <c r="H100" s="14">
        <v>44280</v>
      </c>
      <c r="I100" s="14">
        <v>47232</v>
      </c>
      <c r="J100" s="14">
        <v>8856</v>
      </c>
      <c r="K100" s="14">
        <v>100368</v>
      </c>
      <c r="L100" s="14" t="str">
        <f ca="1">VLOOKUP(B100, 회원, 4, 0)</f>
        <v>박아름</v>
      </c>
      <c r="M100" s="14" t="str">
        <f ca="1">VLOOKUP(C100, 패키지, 3, 0)</f>
        <v>충남 룰루랄라 패키지</v>
      </c>
    </row>
    <row r="101" spans="1:13" x14ac:dyDescent="0.3">
      <c r="A101" s="14">
        <v>100</v>
      </c>
      <c r="B101" s="14">
        <v>10</v>
      </c>
      <c r="C101" s="14">
        <v>21</v>
      </c>
      <c r="D101" s="15">
        <v>44611</v>
      </c>
      <c r="E101" s="14">
        <v>5</v>
      </c>
      <c r="F101" s="14">
        <v>1</v>
      </c>
      <c r="G101" s="14">
        <v>2</v>
      </c>
      <c r="H101" s="14">
        <v>100000</v>
      </c>
      <c r="I101" s="14">
        <v>16000</v>
      </c>
      <c r="J101" s="14">
        <v>24000</v>
      </c>
      <c r="K101" s="14">
        <v>140000</v>
      </c>
      <c r="L101" s="14" t="str">
        <f ca="1">VLOOKUP(B101, 회원, 4, 0)</f>
        <v>나종대</v>
      </c>
      <c r="M101" s="14" t="str">
        <f ca="1">VLOOKUP(C101, 패키지, 3, 0)</f>
        <v>대구 룰루랄라 패키지</v>
      </c>
    </row>
    <row r="102" spans="1:13" x14ac:dyDescent="0.3">
      <c r="A102" s="14">
        <v>101</v>
      </c>
      <c r="B102" s="14">
        <v>1</v>
      </c>
      <c r="C102" s="14">
        <v>48</v>
      </c>
      <c r="D102" s="15">
        <v>44611</v>
      </c>
      <c r="E102" s="14">
        <v>5</v>
      </c>
      <c r="F102" s="14">
        <v>5</v>
      </c>
      <c r="G102" s="14">
        <v>4</v>
      </c>
      <c r="H102" s="14">
        <v>92000</v>
      </c>
      <c r="I102" s="14">
        <v>73600</v>
      </c>
      <c r="J102" s="14">
        <v>44160</v>
      </c>
      <c r="K102" s="14">
        <v>209760</v>
      </c>
      <c r="L102" s="14" t="str">
        <f ca="1">VLOOKUP(B102, 회원, 4, 0)</f>
        <v>감예쁨</v>
      </c>
      <c r="M102" s="14" t="str">
        <f ca="1">VLOOKUP(C102, 패키지, 3, 0)</f>
        <v>전북 선샤인 패키지</v>
      </c>
    </row>
    <row r="103" spans="1:13" x14ac:dyDescent="0.3">
      <c r="A103" s="14">
        <v>102</v>
      </c>
      <c r="B103" s="14">
        <v>10</v>
      </c>
      <c r="C103" s="14">
        <v>52</v>
      </c>
      <c r="D103" s="15">
        <v>44612</v>
      </c>
      <c r="E103" s="14">
        <v>3</v>
      </c>
      <c r="F103" s="14">
        <v>1</v>
      </c>
      <c r="G103" s="14">
        <v>5</v>
      </c>
      <c r="H103" s="14">
        <v>48600</v>
      </c>
      <c r="I103" s="14">
        <v>12960</v>
      </c>
      <c r="J103" s="14">
        <v>48600</v>
      </c>
      <c r="K103" s="14">
        <v>110160</v>
      </c>
      <c r="L103" s="14" t="str">
        <f ca="1">VLOOKUP(B103, 회원, 4, 0)</f>
        <v>나종대</v>
      </c>
      <c r="M103" s="14" t="str">
        <f ca="1">VLOOKUP(C103, 패키지, 3, 0)</f>
        <v>제주 베스트 패키지</v>
      </c>
    </row>
    <row r="104" spans="1:13" x14ac:dyDescent="0.3">
      <c r="A104" s="14">
        <v>103</v>
      </c>
      <c r="B104" s="14">
        <v>22</v>
      </c>
      <c r="C104" s="14">
        <v>41</v>
      </c>
      <c r="D104" s="15">
        <v>44612</v>
      </c>
      <c r="E104" s="14">
        <v>1</v>
      </c>
      <c r="F104" s="14">
        <v>3</v>
      </c>
      <c r="G104" s="14">
        <v>4</v>
      </c>
      <c r="H104" s="14">
        <v>33600</v>
      </c>
      <c r="I104" s="14">
        <v>80640</v>
      </c>
      <c r="J104" s="14">
        <v>80640</v>
      </c>
      <c r="K104" s="14">
        <v>194880</v>
      </c>
      <c r="L104" s="14" t="str">
        <f ca="1">VLOOKUP(B104, 회원, 4, 0)</f>
        <v>조민성</v>
      </c>
      <c r="M104" s="14" t="str">
        <f ca="1">VLOOKUP(C104, 패키지, 3, 0)</f>
        <v>울산 추억 패키지</v>
      </c>
    </row>
    <row r="105" spans="1:13" x14ac:dyDescent="0.3">
      <c r="A105" s="14">
        <v>104</v>
      </c>
      <c r="B105" s="14">
        <v>21</v>
      </c>
      <c r="C105" s="14">
        <v>4</v>
      </c>
      <c r="D105" s="15">
        <v>44613</v>
      </c>
      <c r="E105" s="14">
        <v>1</v>
      </c>
      <c r="F105" s="14">
        <v>2</v>
      </c>
      <c r="G105" s="14">
        <v>0</v>
      </c>
      <c r="H105" s="14">
        <v>31620</v>
      </c>
      <c r="I105" s="14">
        <v>50592</v>
      </c>
      <c r="J105" s="14">
        <v>0</v>
      </c>
      <c r="K105" s="14">
        <v>82212</v>
      </c>
      <c r="L105" s="14" t="str">
        <f ca="1">VLOOKUP(B105, 회원, 4, 0)</f>
        <v>전자미</v>
      </c>
      <c r="M105" s="14" t="str">
        <f ca="1">VLOOKUP(C105, 패키지, 3, 0)</f>
        <v>강원 해피 패키지</v>
      </c>
    </row>
    <row r="106" spans="1:13" x14ac:dyDescent="0.3">
      <c r="A106" s="14">
        <v>105</v>
      </c>
      <c r="B106" s="14">
        <v>10</v>
      </c>
      <c r="C106" s="14">
        <v>50</v>
      </c>
      <c r="D106" s="15">
        <v>44613</v>
      </c>
      <c r="E106" s="14">
        <v>0</v>
      </c>
      <c r="F106" s="14">
        <v>3</v>
      </c>
      <c r="G106" s="14">
        <v>1</v>
      </c>
      <c r="H106" s="14">
        <v>0</v>
      </c>
      <c r="I106" s="14">
        <v>82080</v>
      </c>
      <c r="J106" s="14">
        <v>20520</v>
      </c>
      <c r="K106" s="14">
        <v>102600</v>
      </c>
      <c r="L106" s="14" t="str">
        <f ca="1">VLOOKUP(B106, 회원, 4, 0)</f>
        <v>나종대</v>
      </c>
      <c r="M106" s="14" t="str">
        <f ca="1">VLOOKUP(C106, 패키지, 3, 0)</f>
        <v>전북 맛집 패키지</v>
      </c>
    </row>
    <row r="107" spans="1:13" x14ac:dyDescent="0.3">
      <c r="A107" s="14">
        <v>106</v>
      </c>
      <c r="B107" s="14">
        <v>24</v>
      </c>
      <c r="C107" s="14">
        <v>51</v>
      </c>
      <c r="D107" s="15">
        <v>44613</v>
      </c>
      <c r="E107" s="14">
        <v>4</v>
      </c>
      <c r="F107" s="14">
        <v>0</v>
      </c>
      <c r="G107" s="14">
        <v>0</v>
      </c>
      <c r="H107" s="14">
        <v>39600</v>
      </c>
      <c r="I107" s="14">
        <v>0</v>
      </c>
      <c r="J107" s="14">
        <v>0</v>
      </c>
      <c r="K107" s="14">
        <v>39600</v>
      </c>
      <c r="L107" s="14" t="str">
        <f ca="1">VLOOKUP(B107, 회원, 4, 0)</f>
        <v>하주연</v>
      </c>
      <c r="M107" s="14" t="str">
        <f ca="1">VLOOKUP(C107, 패키지, 3, 0)</f>
        <v>제주 반가워 패키지</v>
      </c>
    </row>
    <row r="108" spans="1:13" x14ac:dyDescent="0.3">
      <c r="A108" s="14">
        <v>107</v>
      </c>
      <c r="B108" s="14">
        <v>19</v>
      </c>
      <c r="C108" s="14">
        <v>13</v>
      </c>
      <c r="D108" s="15">
        <v>44613</v>
      </c>
      <c r="E108" s="14">
        <v>4</v>
      </c>
      <c r="F108" s="14">
        <v>2</v>
      </c>
      <c r="G108" s="14">
        <v>5</v>
      </c>
      <c r="H108" s="14">
        <v>150400</v>
      </c>
      <c r="I108" s="14">
        <v>60160</v>
      </c>
      <c r="J108" s="14">
        <v>112800</v>
      </c>
      <c r="K108" s="14">
        <v>323360</v>
      </c>
      <c r="L108" s="14" t="str">
        <f ca="1">VLOOKUP(B108, 회원, 4, 0)</f>
        <v>이소윤</v>
      </c>
      <c r="M108" s="14" t="str">
        <f ca="1">VLOOKUP(C108, 패키지, 3, 0)</f>
        <v>경남 즐거운 패키지</v>
      </c>
    </row>
    <row r="109" spans="1:13" x14ac:dyDescent="0.3">
      <c r="A109" s="14">
        <v>108</v>
      </c>
      <c r="B109" s="14">
        <v>10</v>
      </c>
      <c r="C109" s="14">
        <v>11</v>
      </c>
      <c r="D109" s="15">
        <v>44615</v>
      </c>
      <c r="E109" s="14">
        <v>0</v>
      </c>
      <c r="F109" s="14">
        <v>1</v>
      </c>
      <c r="G109" s="14">
        <v>1</v>
      </c>
      <c r="H109" s="14">
        <v>0</v>
      </c>
      <c r="I109" s="14">
        <v>17280</v>
      </c>
      <c r="J109" s="14">
        <v>12960</v>
      </c>
      <c r="K109" s="14">
        <v>30240</v>
      </c>
      <c r="L109" s="14" t="str">
        <f ca="1">VLOOKUP(B109, 회원, 4, 0)</f>
        <v>나종대</v>
      </c>
      <c r="M109" s="14" t="str">
        <f ca="1">VLOOKUP(C109, 패키지, 3, 0)</f>
        <v>경남 할인 패키지</v>
      </c>
    </row>
    <row r="110" spans="1:13" x14ac:dyDescent="0.3">
      <c r="A110" s="14">
        <v>109</v>
      </c>
      <c r="B110" s="14">
        <v>6</v>
      </c>
      <c r="C110" s="14">
        <v>19</v>
      </c>
      <c r="D110" s="15">
        <v>44615</v>
      </c>
      <c r="E110" s="14">
        <v>0</v>
      </c>
      <c r="F110" s="14">
        <v>2</v>
      </c>
      <c r="G110" s="14">
        <v>0</v>
      </c>
      <c r="H110" s="14">
        <v>0</v>
      </c>
      <c r="I110" s="14">
        <v>30240</v>
      </c>
      <c r="J110" s="14">
        <v>0</v>
      </c>
      <c r="K110" s="14">
        <v>30240</v>
      </c>
      <c r="L110" s="14" t="str">
        <f ca="1">VLOOKUP(B110, 회원, 4, 0)</f>
        <v>김성숙</v>
      </c>
      <c r="M110" s="14" t="str">
        <f ca="1">VLOOKUP(C110, 패키지, 3, 0)</f>
        <v>광주 해피 패키지</v>
      </c>
    </row>
    <row r="111" spans="1:13" x14ac:dyDescent="0.3">
      <c r="A111" s="14">
        <v>110</v>
      </c>
      <c r="B111" s="14">
        <v>25</v>
      </c>
      <c r="C111" s="14">
        <v>56</v>
      </c>
      <c r="D111" s="15">
        <v>44617</v>
      </c>
      <c r="E111" s="14">
        <v>3</v>
      </c>
      <c r="F111" s="14">
        <v>0</v>
      </c>
      <c r="G111" s="14">
        <v>0</v>
      </c>
      <c r="H111" s="14">
        <v>67230</v>
      </c>
      <c r="I111" s="14">
        <v>0</v>
      </c>
      <c r="J111" s="14">
        <v>0</v>
      </c>
      <c r="K111" s="14">
        <v>67230</v>
      </c>
      <c r="L111" s="14" t="str">
        <f ca="1">VLOOKUP(B111, 회원, 4, 0)</f>
        <v>홍길동</v>
      </c>
      <c r="M111" s="14" t="str">
        <f ca="1">VLOOKUP(C111, 패키지, 3, 0)</f>
        <v>충북 반가워 패키지</v>
      </c>
    </row>
    <row r="112" spans="1:13" x14ac:dyDescent="0.3">
      <c r="A112" s="14">
        <v>111</v>
      </c>
      <c r="B112" s="14">
        <v>6</v>
      </c>
      <c r="C112" s="14">
        <v>56</v>
      </c>
      <c r="D112" s="15">
        <v>44617</v>
      </c>
      <c r="E112" s="14">
        <v>4</v>
      </c>
      <c r="F112" s="14">
        <v>3</v>
      </c>
      <c r="G112" s="14">
        <v>2</v>
      </c>
      <c r="H112" s="14">
        <v>89640</v>
      </c>
      <c r="I112" s="14">
        <v>53784</v>
      </c>
      <c r="J112" s="14">
        <v>26892</v>
      </c>
      <c r="K112" s="14">
        <v>170316</v>
      </c>
      <c r="L112" s="14" t="str">
        <f ca="1">VLOOKUP(B112, 회원, 4, 0)</f>
        <v>김성숙</v>
      </c>
      <c r="M112" s="14" t="str">
        <f ca="1">VLOOKUP(C112, 패키지, 3, 0)</f>
        <v>충북 반가워 패키지</v>
      </c>
    </row>
    <row r="113" spans="1:13" x14ac:dyDescent="0.3">
      <c r="A113" s="14">
        <v>112</v>
      </c>
      <c r="B113" s="14">
        <v>18</v>
      </c>
      <c r="C113" s="14">
        <v>8</v>
      </c>
      <c r="D113" s="15">
        <v>44617</v>
      </c>
      <c r="E113" s="14">
        <v>4</v>
      </c>
      <c r="F113" s="14">
        <v>3</v>
      </c>
      <c r="G113" s="14">
        <v>0</v>
      </c>
      <c r="H113" s="14">
        <v>87680</v>
      </c>
      <c r="I113" s="14">
        <v>52608</v>
      </c>
      <c r="J113" s="14">
        <v>0</v>
      </c>
      <c r="K113" s="14">
        <v>140288</v>
      </c>
      <c r="L113" s="14" t="str">
        <f ca="1">VLOOKUP(B113, 회원, 4, 0)</f>
        <v>이상구</v>
      </c>
      <c r="M113" s="14" t="str">
        <f ca="1">VLOOKUP(C113, 패키지, 3, 0)</f>
        <v>경기 룰루랄라 패키지</v>
      </c>
    </row>
    <row r="114" spans="1:13" x14ac:dyDescent="0.3">
      <c r="A114" s="14">
        <v>113</v>
      </c>
      <c r="B114" s="14">
        <v>2</v>
      </c>
      <c r="C114" s="14">
        <v>31</v>
      </c>
      <c r="D114" s="15">
        <v>44618</v>
      </c>
      <c r="E114" s="14">
        <v>3</v>
      </c>
      <c r="F114" s="14">
        <v>4</v>
      </c>
      <c r="G114" s="14">
        <v>0</v>
      </c>
      <c r="H114" s="14">
        <v>37800</v>
      </c>
      <c r="I114" s="14">
        <v>40320</v>
      </c>
      <c r="J114" s="14">
        <v>0</v>
      </c>
      <c r="K114" s="14">
        <v>78120</v>
      </c>
      <c r="L114" s="14" t="str">
        <f ca="1">VLOOKUP(B114, 회원, 4, 0)</f>
        <v>강딸기</v>
      </c>
      <c r="M114" s="14" t="str">
        <f ca="1">VLOOKUP(C114, 패키지, 3, 0)</f>
        <v>부산 최고 패키지</v>
      </c>
    </row>
    <row r="115" spans="1:13" x14ac:dyDescent="0.3">
      <c r="A115" s="14">
        <v>114</v>
      </c>
      <c r="B115" s="14">
        <v>17</v>
      </c>
      <c r="C115" s="14">
        <v>28</v>
      </c>
      <c r="D115" s="15">
        <v>44619</v>
      </c>
      <c r="E115" s="14">
        <v>5</v>
      </c>
      <c r="F115" s="14">
        <v>1</v>
      </c>
      <c r="G115" s="14">
        <v>3</v>
      </c>
      <c r="H115" s="14">
        <v>58500</v>
      </c>
      <c r="I115" s="14">
        <v>9360</v>
      </c>
      <c r="J115" s="14">
        <v>21060</v>
      </c>
      <c r="K115" s="14">
        <v>88920</v>
      </c>
      <c r="L115" s="14" t="str">
        <f ca="1">VLOOKUP(B115, 회원, 4, 0)</f>
        <v>윤산하</v>
      </c>
      <c r="M115" s="14" t="str">
        <f ca="1">VLOOKUP(C115, 패키지, 3, 0)</f>
        <v>부산 선샤인 패키지</v>
      </c>
    </row>
    <row r="116" spans="1:13" x14ac:dyDescent="0.3">
      <c r="A116" s="14">
        <v>115</v>
      </c>
      <c r="B116" s="14">
        <v>21</v>
      </c>
      <c r="C116" s="14">
        <v>28</v>
      </c>
      <c r="D116" s="15">
        <v>44619</v>
      </c>
      <c r="E116" s="14">
        <v>0</v>
      </c>
      <c r="F116" s="14">
        <v>1</v>
      </c>
      <c r="G116" s="14">
        <v>4</v>
      </c>
      <c r="H116" s="14">
        <v>0</v>
      </c>
      <c r="I116" s="14">
        <v>9360</v>
      </c>
      <c r="J116" s="14">
        <v>28080</v>
      </c>
      <c r="K116" s="14">
        <v>37440</v>
      </c>
      <c r="L116" s="14" t="str">
        <f ca="1">VLOOKUP(B116, 회원, 4, 0)</f>
        <v>전자미</v>
      </c>
      <c r="M116" s="14" t="str">
        <f ca="1">VLOOKUP(C116, 패키지, 3, 0)</f>
        <v>부산 선샤인 패키지</v>
      </c>
    </row>
    <row r="117" spans="1:13" x14ac:dyDescent="0.3">
      <c r="A117" s="14">
        <v>116</v>
      </c>
      <c r="B117" s="14">
        <v>5</v>
      </c>
      <c r="C117" s="14">
        <v>53</v>
      </c>
      <c r="D117" s="15">
        <v>44620</v>
      </c>
      <c r="E117" s="14">
        <v>0</v>
      </c>
      <c r="F117" s="14">
        <v>1</v>
      </c>
      <c r="G117" s="14">
        <v>3</v>
      </c>
      <c r="H117" s="14">
        <v>0</v>
      </c>
      <c r="I117" s="14">
        <v>14720</v>
      </c>
      <c r="J117" s="14">
        <v>33120</v>
      </c>
      <c r="K117" s="14">
        <v>47840</v>
      </c>
      <c r="L117" s="14" t="str">
        <f ca="1">VLOOKUP(B117, 회원, 4, 0)</f>
        <v>김성대</v>
      </c>
      <c r="M117" s="14" t="str">
        <f ca="1">VLOOKUP(C117, 패키지, 3, 0)</f>
        <v>제주 룰루랄라 패키지</v>
      </c>
    </row>
    <row r="118" spans="1:13" x14ac:dyDescent="0.3">
      <c r="A118" s="14">
        <v>117</v>
      </c>
      <c r="B118" s="14">
        <v>9</v>
      </c>
      <c r="C118" s="14">
        <v>51</v>
      </c>
      <c r="D118" s="15">
        <v>44620</v>
      </c>
      <c r="E118" s="14">
        <v>2</v>
      </c>
      <c r="F118" s="14">
        <v>4</v>
      </c>
      <c r="G118" s="14">
        <v>0</v>
      </c>
      <c r="H118" s="14">
        <v>19800</v>
      </c>
      <c r="I118" s="14">
        <v>31680</v>
      </c>
      <c r="J118" s="14">
        <v>0</v>
      </c>
      <c r="K118" s="14">
        <v>51480</v>
      </c>
      <c r="L118" s="14" t="str">
        <f ca="1">VLOOKUP(B118, 회원, 4, 0)</f>
        <v>김철수</v>
      </c>
      <c r="M118" s="14" t="str">
        <f ca="1">VLOOKUP(C118, 패키지, 3, 0)</f>
        <v>제주 반가워 패키지</v>
      </c>
    </row>
    <row r="119" spans="1:13" x14ac:dyDescent="0.3">
      <c r="A119" s="14">
        <v>118</v>
      </c>
      <c r="B119" s="14">
        <v>4</v>
      </c>
      <c r="C119" s="14">
        <v>5</v>
      </c>
      <c r="D119" s="15">
        <v>44621</v>
      </c>
      <c r="E119" s="14">
        <v>5</v>
      </c>
      <c r="F119" s="14">
        <v>4</v>
      </c>
      <c r="G119" s="14">
        <v>5</v>
      </c>
      <c r="H119" s="14">
        <v>117600</v>
      </c>
      <c r="I119" s="14">
        <v>75264</v>
      </c>
      <c r="J119" s="14">
        <v>70560</v>
      </c>
      <c r="K119" s="14">
        <v>263424</v>
      </c>
      <c r="L119" s="14" t="str">
        <f ca="1">VLOOKUP(B119, 회원, 4, 0)</f>
        <v>김설아</v>
      </c>
      <c r="M119" s="14" t="str">
        <f ca="1">VLOOKUP(C119, 패키지, 3, 0)</f>
        <v>강원 선샤인 패키지</v>
      </c>
    </row>
    <row r="120" spans="1:13" x14ac:dyDescent="0.3">
      <c r="A120" s="14">
        <v>119</v>
      </c>
      <c r="B120" s="14">
        <v>17</v>
      </c>
      <c r="C120" s="14">
        <v>50</v>
      </c>
      <c r="D120" s="15">
        <v>44621</v>
      </c>
      <c r="E120" s="14">
        <v>4</v>
      </c>
      <c r="F120" s="14">
        <v>4</v>
      </c>
      <c r="G120" s="14">
        <v>5</v>
      </c>
      <c r="H120" s="14">
        <v>136800</v>
      </c>
      <c r="I120" s="14">
        <v>109440</v>
      </c>
      <c r="J120" s="14">
        <v>102600</v>
      </c>
      <c r="K120" s="14">
        <v>348840</v>
      </c>
      <c r="L120" s="14" t="str">
        <f ca="1">VLOOKUP(B120, 회원, 4, 0)</f>
        <v>윤산하</v>
      </c>
      <c r="M120" s="14" t="str">
        <f ca="1">VLOOKUP(C120, 패키지, 3, 0)</f>
        <v>전북 맛집 패키지</v>
      </c>
    </row>
    <row r="121" spans="1:13" x14ac:dyDescent="0.3">
      <c r="A121" s="14">
        <v>120</v>
      </c>
      <c r="B121" s="14">
        <v>5</v>
      </c>
      <c r="C121" s="14">
        <v>50</v>
      </c>
      <c r="D121" s="15">
        <v>44622</v>
      </c>
      <c r="E121" s="14">
        <v>0</v>
      </c>
      <c r="F121" s="14">
        <v>0</v>
      </c>
      <c r="G121" s="14">
        <v>3</v>
      </c>
      <c r="H121" s="14">
        <v>0</v>
      </c>
      <c r="I121" s="14">
        <v>0</v>
      </c>
      <c r="J121" s="14">
        <v>61560</v>
      </c>
      <c r="K121" s="14">
        <v>61560</v>
      </c>
      <c r="L121" s="14" t="str">
        <f ca="1">VLOOKUP(B121, 회원, 4, 0)</f>
        <v>김성대</v>
      </c>
      <c r="M121" s="14" t="str">
        <f ca="1">VLOOKUP(C121, 패키지, 3, 0)</f>
        <v>전북 맛집 패키지</v>
      </c>
    </row>
    <row r="122" spans="1:13" x14ac:dyDescent="0.3">
      <c r="A122" s="14">
        <v>121</v>
      </c>
      <c r="B122" s="14">
        <v>9</v>
      </c>
      <c r="C122" s="14">
        <v>48</v>
      </c>
      <c r="D122" s="15">
        <v>44623</v>
      </c>
      <c r="E122" s="14">
        <v>2</v>
      </c>
      <c r="F122" s="14">
        <v>3</v>
      </c>
      <c r="G122" s="14">
        <v>5</v>
      </c>
      <c r="H122" s="14">
        <v>36800</v>
      </c>
      <c r="I122" s="14">
        <v>44160</v>
      </c>
      <c r="J122" s="14">
        <v>55200</v>
      </c>
      <c r="K122" s="14">
        <v>136160</v>
      </c>
      <c r="L122" s="14" t="str">
        <f ca="1">VLOOKUP(B122, 회원, 4, 0)</f>
        <v>김철수</v>
      </c>
      <c r="M122" s="14" t="str">
        <f ca="1">VLOOKUP(C122, 패키지, 3, 0)</f>
        <v>전북 선샤인 패키지</v>
      </c>
    </row>
    <row r="123" spans="1:13" x14ac:dyDescent="0.3">
      <c r="A123" s="14">
        <v>122</v>
      </c>
      <c r="B123" s="14">
        <v>23</v>
      </c>
      <c r="C123" s="14">
        <v>31</v>
      </c>
      <c r="D123" s="15">
        <v>44623</v>
      </c>
      <c r="E123" s="14">
        <v>4</v>
      </c>
      <c r="F123" s="14">
        <v>2</v>
      </c>
      <c r="G123" s="14">
        <v>0</v>
      </c>
      <c r="H123" s="14">
        <v>50400</v>
      </c>
      <c r="I123" s="14">
        <v>20160</v>
      </c>
      <c r="J123" s="14">
        <v>0</v>
      </c>
      <c r="K123" s="14">
        <v>70560</v>
      </c>
      <c r="L123" s="14" t="str">
        <f ca="1">VLOOKUP(B123, 회원, 4, 0)</f>
        <v>조아영</v>
      </c>
      <c r="M123" s="14" t="str">
        <f ca="1">VLOOKUP(C123, 패키지, 3, 0)</f>
        <v>부산 최고 패키지</v>
      </c>
    </row>
    <row r="124" spans="1:13" x14ac:dyDescent="0.3">
      <c r="A124" s="14">
        <v>123</v>
      </c>
      <c r="B124" s="14">
        <v>14</v>
      </c>
      <c r="C124" s="14">
        <v>43</v>
      </c>
      <c r="D124" s="15">
        <v>44623</v>
      </c>
      <c r="E124" s="14">
        <v>5</v>
      </c>
      <c r="F124" s="14">
        <v>2</v>
      </c>
      <c r="G124" s="14">
        <v>0</v>
      </c>
      <c r="H124" s="14">
        <v>108000</v>
      </c>
      <c r="I124" s="14">
        <v>34560</v>
      </c>
      <c r="J124" s="14">
        <v>0</v>
      </c>
      <c r="K124" s="14">
        <v>142560</v>
      </c>
      <c r="L124" s="14" t="str">
        <f ca="1">VLOOKUP(B124, 회원, 4, 0)</f>
        <v>배보라</v>
      </c>
      <c r="M124" s="14" t="str">
        <f ca="1">VLOOKUP(C124, 패키지, 3, 0)</f>
        <v>인천 선샤인 패키지</v>
      </c>
    </row>
    <row r="125" spans="1:13" x14ac:dyDescent="0.3">
      <c r="A125" s="14">
        <v>124</v>
      </c>
      <c r="B125" s="14">
        <v>6</v>
      </c>
      <c r="C125" s="14">
        <v>1</v>
      </c>
      <c r="D125" s="15">
        <v>44624</v>
      </c>
      <c r="E125" s="14">
        <v>1</v>
      </c>
      <c r="F125" s="14">
        <v>5</v>
      </c>
      <c r="G125" s="14">
        <v>0</v>
      </c>
      <c r="H125" s="14">
        <v>18720</v>
      </c>
      <c r="I125" s="14">
        <v>74880</v>
      </c>
      <c r="J125" s="14">
        <v>0</v>
      </c>
      <c r="K125" s="14">
        <v>93600</v>
      </c>
      <c r="L125" s="14" t="str">
        <f ca="1">VLOOKUP(B125, 회원, 4, 0)</f>
        <v>김성숙</v>
      </c>
      <c r="M125" s="14" t="str">
        <f ca="1">VLOOKUP(C125, 패키지, 3, 0)</f>
        <v>강원 최고 패키지</v>
      </c>
    </row>
    <row r="126" spans="1:13" x14ac:dyDescent="0.3">
      <c r="A126" s="14">
        <v>125</v>
      </c>
      <c r="B126" s="14">
        <v>14</v>
      </c>
      <c r="C126" s="14">
        <v>5</v>
      </c>
      <c r="D126" s="15">
        <v>44625</v>
      </c>
      <c r="E126" s="14">
        <v>0</v>
      </c>
      <c r="F126" s="14">
        <v>1</v>
      </c>
      <c r="G126" s="14">
        <v>0</v>
      </c>
      <c r="H126" s="14">
        <v>0</v>
      </c>
      <c r="I126" s="14">
        <v>18816</v>
      </c>
      <c r="J126" s="14">
        <v>0</v>
      </c>
      <c r="K126" s="14">
        <v>18816</v>
      </c>
      <c r="L126" s="14" t="str">
        <f ca="1">VLOOKUP(B126, 회원, 4, 0)</f>
        <v>배보라</v>
      </c>
      <c r="M126" s="14" t="str">
        <f ca="1">VLOOKUP(C126, 패키지, 3, 0)</f>
        <v>강원 선샤인 패키지</v>
      </c>
    </row>
    <row r="127" spans="1:13" x14ac:dyDescent="0.3">
      <c r="A127" s="14">
        <v>126</v>
      </c>
      <c r="B127" s="14">
        <v>18</v>
      </c>
      <c r="C127" s="14">
        <v>28</v>
      </c>
      <c r="D127" s="15">
        <v>44625</v>
      </c>
      <c r="E127" s="14">
        <v>0</v>
      </c>
      <c r="F127" s="14">
        <v>5</v>
      </c>
      <c r="G127" s="14">
        <v>3</v>
      </c>
      <c r="H127" s="14">
        <v>0</v>
      </c>
      <c r="I127" s="14">
        <v>46800</v>
      </c>
      <c r="J127" s="14">
        <v>21060</v>
      </c>
      <c r="K127" s="14">
        <v>67860</v>
      </c>
      <c r="L127" s="14" t="str">
        <f ca="1">VLOOKUP(B127, 회원, 4, 0)</f>
        <v>이상구</v>
      </c>
      <c r="M127" s="14" t="str">
        <f ca="1">VLOOKUP(C127, 패키지, 3, 0)</f>
        <v>부산 선샤인 패키지</v>
      </c>
    </row>
    <row r="128" spans="1:13" x14ac:dyDescent="0.3">
      <c r="A128" s="14">
        <v>127</v>
      </c>
      <c r="B128" s="14">
        <v>6</v>
      </c>
      <c r="C128" s="14">
        <v>54</v>
      </c>
      <c r="D128" s="15">
        <v>44625</v>
      </c>
      <c r="E128" s="14">
        <v>5</v>
      </c>
      <c r="F128" s="14">
        <v>2</v>
      </c>
      <c r="G128" s="14">
        <v>5</v>
      </c>
      <c r="H128" s="14">
        <v>110700</v>
      </c>
      <c r="I128" s="14">
        <v>35424</v>
      </c>
      <c r="J128" s="14">
        <v>66420</v>
      </c>
      <c r="K128" s="14">
        <v>212544</v>
      </c>
      <c r="L128" s="14" t="str">
        <f ca="1">VLOOKUP(B128, 회원, 4, 0)</f>
        <v>김성숙</v>
      </c>
      <c r="M128" s="14" t="str">
        <f ca="1">VLOOKUP(C128, 패키지, 3, 0)</f>
        <v>충남 베스트 패키지</v>
      </c>
    </row>
    <row r="129" spans="1:13" x14ac:dyDescent="0.3">
      <c r="A129" s="14">
        <v>128</v>
      </c>
      <c r="B129" s="14">
        <v>12</v>
      </c>
      <c r="C129" s="14">
        <v>12</v>
      </c>
      <c r="D129" s="15">
        <v>44625</v>
      </c>
      <c r="E129" s="14">
        <v>2</v>
      </c>
      <c r="F129" s="14">
        <v>2</v>
      </c>
      <c r="G129" s="14">
        <v>3</v>
      </c>
      <c r="H129" s="14">
        <v>27000</v>
      </c>
      <c r="I129" s="14">
        <v>21600</v>
      </c>
      <c r="J129" s="14">
        <v>24300</v>
      </c>
      <c r="K129" s="14">
        <v>72900</v>
      </c>
      <c r="L129" s="14" t="str">
        <f ca="1">VLOOKUP(B129, 회원, 4, 0)</f>
        <v>박아름</v>
      </c>
      <c r="M129" s="14" t="str">
        <f ca="1">VLOOKUP(C129, 패키지, 3, 0)</f>
        <v>경남 좋은 패키지</v>
      </c>
    </row>
    <row r="130" spans="1:13" x14ac:dyDescent="0.3">
      <c r="A130" s="14">
        <v>129</v>
      </c>
      <c r="B130" s="14">
        <v>14</v>
      </c>
      <c r="C130" s="14">
        <v>8</v>
      </c>
      <c r="D130" s="15">
        <v>44626</v>
      </c>
      <c r="E130" s="14">
        <v>4</v>
      </c>
      <c r="F130" s="14">
        <v>1</v>
      </c>
      <c r="G130" s="14">
        <v>2</v>
      </c>
      <c r="H130" s="14">
        <v>87680</v>
      </c>
      <c r="I130" s="14">
        <v>17536</v>
      </c>
      <c r="J130" s="14">
        <v>26304</v>
      </c>
      <c r="K130" s="14">
        <v>131520</v>
      </c>
      <c r="L130" s="14" t="str">
        <f ca="1">VLOOKUP(B130, 회원, 4, 0)</f>
        <v>배보라</v>
      </c>
      <c r="M130" s="14" t="str">
        <f ca="1">VLOOKUP(C130, 패키지, 3, 0)</f>
        <v>경기 룰루랄라 패키지</v>
      </c>
    </row>
    <row r="131" spans="1:13" x14ac:dyDescent="0.3">
      <c r="A131" s="14">
        <v>130</v>
      </c>
      <c r="B131" s="14">
        <v>25</v>
      </c>
      <c r="C131" s="14">
        <v>19</v>
      </c>
      <c r="D131" s="15">
        <v>44626</v>
      </c>
      <c r="E131" s="14">
        <v>0</v>
      </c>
      <c r="F131" s="14">
        <v>0</v>
      </c>
      <c r="G131" s="14">
        <v>3</v>
      </c>
      <c r="H131" s="14">
        <v>0</v>
      </c>
      <c r="I131" s="14">
        <v>0</v>
      </c>
      <c r="J131" s="14">
        <v>34020</v>
      </c>
      <c r="K131" s="14">
        <v>34020</v>
      </c>
      <c r="L131" s="14" t="str">
        <f ca="1">VLOOKUP(B131, 회원, 4, 0)</f>
        <v>홍길동</v>
      </c>
      <c r="M131" s="14" t="str">
        <f ca="1">VLOOKUP(C131, 패키지, 3, 0)</f>
        <v>광주 해피 패키지</v>
      </c>
    </row>
    <row r="132" spans="1:13" x14ac:dyDescent="0.3">
      <c r="A132" s="14">
        <v>131</v>
      </c>
      <c r="B132" s="14">
        <v>11</v>
      </c>
      <c r="C132" s="14">
        <v>53</v>
      </c>
      <c r="D132" s="15">
        <v>44627</v>
      </c>
      <c r="E132" s="14">
        <v>0</v>
      </c>
      <c r="F132" s="14">
        <v>5</v>
      </c>
      <c r="G132" s="14">
        <v>4</v>
      </c>
      <c r="H132" s="14">
        <v>0</v>
      </c>
      <c r="I132" s="14">
        <v>73600</v>
      </c>
      <c r="J132" s="14">
        <v>44160</v>
      </c>
      <c r="K132" s="14">
        <v>117760</v>
      </c>
      <c r="L132" s="14" t="str">
        <f ca="1">VLOOKUP(B132, 회원, 4, 0)</f>
        <v>남정휴</v>
      </c>
      <c r="M132" s="14" t="str">
        <f ca="1">VLOOKUP(C132, 패키지, 3, 0)</f>
        <v>제주 룰루랄라 패키지</v>
      </c>
    </row>
    <row r="133" spans="1:13" x14ac:dyDescent="0.3">
      <c r="A133" s="14">
        <v>132</v>
      </c>
      <c r="B133" s="14">
        <v>3</v>
      </c>
      <c r="C133" s="14">
        <v>17</v>
      </c>
      <c r="D133" s="15">
        <v>44628</v>
      </c>
      <c r="E133" s="14">
        <v>2</v>
      </c>
      <c r="F133" s="14">
        <v>1</v>
      </c>
      <c r="G133" s="14">
        <v>4</v>
      </c>
      <c r="H133" s="14">
        <v>50400</v>
      </c>
      <c r="I133" s="14">
        <v>20160</v>
      </c>
      <c r="J133" s="14">
        <v>60480</v>
      </c>
      <c r="K133" s="14">
        <v>131040</v>
      </c>
      <c r="L133" s="14" t="str">
        <f ca="1">VLOOKUP(B133, 회원, 4, 0)</f>
        <v>김경영</v>
      </c>
      <c r="M133" s="14" t="str">
        <f ca="1">VLOOKUP(C133, 패키지, 3, 0)</f>
        <v>경북 베스트 패키지</v>
      </c>
    </row>
    <row r="134" spans="1:13" x14ac:dyDescent="0.3">
      <c r="A134" s="14">
        <v>133</v>
      </c>
      <c r="B134" s="14">
        <v>7</v>
      </c>
      <c r="C134" s="14">
        <v>19</v>
      </c>
      <c r="D134" s="15">
        <v>44629</v>
      </c>
      <c r="E134" s="14">
        <v>2</v>
      </c>
      <c r="F134" s="14">
        <v>4</v>
      </c>
      <c r="G134" s="14">
        <v>0</v>
      </c>
      <c r="H134" s="14">
        <v>37800</v>
      </c>
      <c r="I134" s="14">
        <v>60480</v>
      </c>
      <c r="J134" s="14">
        <v>0</v>
      </c>
      <c r="K134" s="14">
        <v>98280</v>
      </c>
      <c r="L134" s="14" t="str">
        <f ca="1">VLOOKUP(B134, 회원, 4, 0)</f>
        <v>김숙희</v>
      </c>
      <c r="M134" s="14" t="str">
        <f ca="1">VLOOKUP(C134, 패키지, 3, 0)</f>
        <v>광주 해피 패키지</v>
      </c>
    </row>
    <row r="135" spans="1:13" x14ac:dyDescent="0.3">
      <c r="A135" s="14">
        <v>134</v>
      </c>
      <c r="B135" s="14">
        <v>7</v>
      </c>
      <c r="C135" s="14">
        <v>48</v>
      </c>
      <c r="D135" s="15">
        <v>44629</v>
      </c>
      <c r="E135" s="14">
        <v>4</v>
      </c>
      <c r="F135" s="14">
        <v>3</v>
      </c>
      <c r="G135" s="14">
        <v>5</v>
      </c>
      <c r="H135" s="14">
        <v>73600</v>
      </c>
      <c r="I135" s="14">
        <v>44160</v>
      </c>
      <c r="J135" s="14">
        <v>55200</v>
      </c>
      <c r="K135" s="14">
        <v>172960</v>
      </c>
      <c r="L135" s="14" t="str">
        <f ca="1">VLOOKUP(B135, 회원, 4, 0)</f>
        <v>김숙희</v>
      </c>
      <c r="M135" s="14" t="str">
        <f ca="1">VLOOKUP(C135, 패키지, 3, 0)</f>
        <v>전북 선샤인 패키지</v>
      </c>
    </row>
    <row r="136" spans="1:13" x14ac:dyDescent="0.3">
      <c r="A136" s="14">
        <v>135</v>
      </c>
      <c r="B136" s="14">
        <v>26</v>
      </c>
      <c r="C136" s="14">
        <v>51</v>
      </c>
      <c r="D136" s="15">
        <v>44630</v>
      </c>
      <c r="E136" s="14">
        <v>4</v>
      </c>
      <c r="F136" s="14">
        <v>5</v>
      </c>
      <c r="G136" s="14">
        <v>4</v>
      </c>
      <c r="H136" s="14">
        <v>39600</v>
      </c>
      <c r="I136" s="14">
        <v>39600</v>
      </c>
      <c r="J136" s="14">
        <v>23760</v>
      </c>
      <c r="K136" s="14">
        <v>102960</v>
      </c>
      <c r="L136" s="14" t="str">
        <f ca="1">VLOOKUP(B136, 회원, 4, 0)</f>
        <v>홍성장</v>
      </c>
      <c r="M136" s="14" t="str">
        <f ca="1">VLOOKUP(C136, 패키지, 3, 0)</f>
        <v>제주 반가워 패키지</v>
      </c>
    </row>
    <row r="137" spans="1:13" x14ac:dyDescent="0.3">
      <c r="A137" s="14">
        <v>136</v>
      </c>
      <c r="B137" s="14">
        <v>5</v>
      </c>
      <c r="C137" s="14">
        <v>31</v>
      </c>
      <c r="D137" s="15">
        <v>44631</v>
      </c>
      <c r="E137" s="14">
        <v>1</v>
      </c>
      <c r="F137" s="14">
        <v>4</v>
      </c>
      <c r="G137" s="14">
        <v>0</v>
      </c>
      <c r="H137" s="14">
        <v>12600</v>
      </c>
      <c r="I137" s="14">
        <v>40320</v>
      </c>
      <c r="J137" s="14">
        <v>0</v>
      </c>
      <c r="K137" s="14">
        <v>52920</v>
      </c>
      <c r="L137" s="14" t="str">
        <f ca="1">VLOOKUP(B137, 회원, 4, 0)</f>
        <v>김성대</v>
      </c>
      <c r="M137" s="14" t="str">
        <f ca="1">VLOOKUP(C137, 패키지, 3, 0)</f>
        <v>부산 최고 패키지</v>
      </c>
    </row>
    <row r="138" spans="1:13" x14ac:dyDescent="0.3">
      <c r="A138" s="14">
        <v>137</v>
      </c>
      <c r="B138" s="14">
        <v>14</v>
      </c>
      <c r="C138" s="14">
        <v>7</v>
      </c>
      <c r="D138" s="15">
        <v>44631</v>
      </c>
      <c r="E138" s="14">
        <v>4</v>
      </c>
      <c r="F138" s="14">
        <v>4</v>
      </c>
      <c r="G138" s="14">
        <v>0</v>
      </c>
      <c r="H138" s="14">
        <v>104320</v>
      </c>
      <c r="I138" s="14">
        <v>83456</v>
      </c>
      <c r="J138" s="14">
        <v>0</v>
      </c>
      <c r="K138" s="14">
        <v>187776</v>
      </c>
      <c r="L138" s="14" t="str">
        <f ca="1">VLOOKUP(B138, 회원, 4, 0)</f>
        <v>배보라</v>
      </c>
      <c r="M138" s="14" t="str">
        <f ca="1">VLOOKUP(C138, 패키지, 3, 0)</f>
        <v>경기 최고 패키지</v>
      </c>
    </row>
    <row r="139" spans="1:13" x14ac:dyDescent="0.3">
      <c r="A139" s="14">
        <v>138</v>
      </c>
      <c r="B139" s="14">
        <v>2</v>
      </c>
      <c r="C139" s="14">
        <v>6</v>
      </c>
      <c r="D139" s="15">
        <v>44631</v>
      </c>
      <c r="E139" s="14">
        <v>5</v>
      </c>
      <c r="F139" s="14">
        <v>0</v>
      </c>
      <c r="G139" s="14">
        <v>5</v>
      </c>
      <c r="H139" s="14">
        <v>134000</v>
      </c>
      <c r="I139" s="14">
        <v>0</v>
      </c>
      <c r="J139" s="14">
        <v>80400</v>
      </c>
      <c r="K139" s="14">
        <v>214400</v>
      </c>
      <c r="L139" s="14" t="str">
        <f ca="1">VLOOKUP(B139, 회원, 4, 0)</f>
        <v>강딸기</v>
      </c>
      <c r="M139" s="14" t="str">
        <f ca="1">VLOOKUP(C139, 패키지, 3, 0)</f>
        <v>경기 반가워 패키지</v>
      </c>
    </row>
    <row r="140" spans="1:13" x14ac:dyDescent="0.3">
      <c r="A140" s="14">
        <v>139</v>
      </c>
      <c r="B140" s="14">
        <v>19</v>
      </c>
      <c r="C140" s="14">
        <v>50</v>
      </c>
      <c r="D140" s="15">
        <v>44631</v>
      </c>
      <c r="E140" s="14">
        <v>5</v>
      </c>
      <c r="F140" s="14">
        <v>2</v>
      </c>
      <c r="G140" s="14">
        <v>1</v>
      </c>
      <c r="H140" s="14">
        <v>171000</v>
      </c>
      <c r="I140" s="14">
        <v>54720</v>
      </c>
      <c r="J140" s="14">
        <v>20520</v>
      </c>
      <c r="K140" s="14">
        <v>246240</v>
      </c>
      <c r="L140" s="14" t="str">
        <f ca="1">VLOOKUP(B140, 회원, 4, 0)</f>
        <v>이소윤</v>
      </c>
      <c r="M140" s="14" t="str">
        <f ca="1">VLOOKUP(C140, 패키지, 3, 0)</f>
        <v>전북 맛집 패키지</v>
      </c>
    </row>
    <row r="141" spans="1:13" x14ac:dyDescent="0.3">
      <c r="A141" s="14">
        <v>140</v>
      </c>
      <c r="B141" s="14">
        <v>22</v>
      </c>
      <c r="C141" s="14">
        <v>34</v>
      </c>
      <c r="D141" s="15">
        <v>44633</v>
      </c>
      <c r="E141" s="14">
        <v>5</v>
      </c>
      <c r="F141" s="14">
        <v>3</v>
      </c>
      <c r="G141" s="14">
        <v>4</v>
      </c>
      <c r="H141" s="14">
        <v>134000</v>
      </c>
      <c r="I141" s="14">
        <v>64320</v>
      </c>
      <c r="J141" s="14">
        <v>64320</v>
      </c>
      <c r="K141" s="14">
        <v>262640</v>
      </c>
      <c r="L141" s="14" t="str">
        <f ca="1">VLOOKUP(B141, 회원, 4, 0)</f>
        <v>조민성</v>
      </c>
      <c r="M141" s="14" t="str">
        <f ca="1">VLOOKUP(C141, 패키지, 3, 0)</f>
        <v>서울 베스트 패키지</v>
      </c>
    </row>
    <row r="142" spans="1:13" x14ac:dyDescent="0.3">
      <c r="A142" s="14">
        <v>141</v>
      </c>
      <c r="B142" s="14">
        <v>6</v>
      </c>
      <c r="C142" s="14">
        <v>40</v>
      </c>
      <c r="D142" s="15">
        <v>44634</v>
      </c>
      <c r="E142" s="14">
        <v>0</v>
      </c>
      <c r="F142" s="14">
        <v>3</v>
      </c>
      <c r="G142" s="14">
        <v>0</v>
      </c>
      <c r="H142" s="14">
        <v>0</v>
      </c>
      <c r="I142" s="14">
        <v>61440</v>
      </c>
      <c r="J142" s="14">
        <v>0</v>
      </c>
      <c r="K142" s="14">
        <v>61440</v>
      </c>
      <c r="L142" s="14" t="str">
        <f ca="1">VLOOKUP(B142, 회원, 4, 0)</f>
        <v>김성숙</v>
      </c>
      <c r="M142" s="14" t="str">
        <f ca="1">VLOOKUP(C142, 패키지, 3, 0)</f>
        <v>울산 선샤인 패키지</v>
      </c>
    </row>
    <row r="143" spans="1:13" x14ac:dyDescent="0.3">
      <c r="A143" s="14">
        <v>142</v>
      </c>
      <c r="B143" s="14">
        <v>2</v>
      </c>
      <c r="C143" s="14">
        <v>57</v>
      </c>
      <c r="D143" s="15">
        <v>44635</v>
      </c>
      <c r="E143" s="14">
        <v>2</v>
      </c>
      <c r="F143" s="14">
        <v>1</v>
      </c>
      <c r="G143" s="14">
        <v>4</v>
      </c>
      <c r="H143" s="14">
        <v>40160</v>
      </c>
      <c r="I143" s="14">
        <v>16064</v>
      </c>
      <c r="J143" s="14">
        <v>48192</v>
      </c>
      <c r="K143" s="14">
        <v>104416</v>
      </c>
      <c r="L143" s="14" t="str">
        <f ca="1">VLOOKUP(B143, 회원, 4, 0)</f>
        <v>강딸기</v>
      </c>
      <c r="M143" s="14" t="str">
        <f ca="1">VLOOKUP(C143, 패키지, 3, 0)</f>
        <v>충북 베스트 패키지</v>
      </c>
    </row>
    <row r="144" spans="1:13" x14ac:dyDescent="0.3">
      <c r="A144" s="14">
        <v>143</v>
      </c>
      <c r="B144" s="14">
        <v>24</v>
      </c>
      <c r="C144" s="14">
        <v>33</v>
      </c>
      <c r="D144" s="15">
        <v>44635</v>
      </c>
      <c r="E144" s="14">
        <v>4</v>
      </c>
      <c r="F144" s="14">
        <v>4</v>
      </c>
      <c r="G144" s="14">
        <v>2</v>
      </c>
      <c r="H144" s="14">
        <v>54400</v>
      </c>
      <c r="I144" s="14">
        <v>43520</v>
      </c>
      <c r="J144" s="14">
        <v>16320</v>
      </c>
      <c r="K144" s="14">
        <v>114240</v>
      </c>
      <c r="L144" s="14" t="str">
        <f ca="1">VLOOKUP(B144, 회원, 4, 0)</f>
        <v>하주연</v>
      </c>
      <c r="M144" s="14" t="str">
        <f ca="1">VLOOKUP(C144, 패키지, 3, 0)</f>
        <v>서울 룰루랄라 패키지</v>
      </c>
    </row>
    <row r="145" spans="1:13" x14ac:dyDescent="0.3">
      <c r="A145" s="14">
        <v>144</v>
      </c>
      <c r="B145" s="14">
        <v>5</v>
      </c>
      <c r="C145" s="14">
        <v>50</v>
      </c>
      <c r="D145" s="15">
        <v>44635</v>
      </c>
      <c r="E145" s="14">
        <v>5</v>
      </c>
      <c r="F145" s="14">
        <v>2</v>
      </c>
      <c r="G145" s="14">
        <v>4</v>
      </c>
      <c r="H145" s="14">
        <v>171000</v>
      </c>
      <c r="I145" s="14">
        <v>54720</v>
      </c>
      <c r="J145" s="14">
        <v>82080</v>
      </c>
      <c r="K145" s="14">
        <v>307800</v>
      </c>
      <c r="L145" s="14" t="str">
        <f ca="1">VLOOKUP(B145, 회원, 4, 0)</f>
        <v>김성대</v>
      </c>
      <c r="M145" s="14" t="str">
        <f ca="1">VLOOKUP(C145, 패키지, 3, 0)</f>
        <v>전북 맛집 패키지</v>
      </c>
    </row>
    <row r="146" spans="1:13" x14ac:dyDescent="0.3">
      <c r="A146" s="14">
        <v>145</v>
      </c>
      <c r="B146" s="14">
        <v>24</v>
      </c>
      <c r="C146" s="14">
        <v>38</v>
      </c>
      <c r="D146" s="15">
        <v>44636</v>
      </c>
      <c r="E146" s="14">
        <v>0</v>
      </c>
      <c r="F146" s="14">
        <v>3</v>
      </c>
      <c r="G146" s="14">
        <v>4</v>
      </c>
      <c r="H146" s="14">
        <v>0</v>
      </c>
      <c r="I146" s="14">
        <v>17280</v>
      </c>
      <c r="J146" s="14">
        <v>17280</v>
      </c>
      <c r="K146" s="14">
        <v>34560</v>
      </c>
      <c r="L146" s="14" t="str">
        <f ca="1">VLOOKUP(B146, 회원, 4, 0)</f>
        <v>하주연</v>
      </c>
      <c r="M146" s="14" t="str">
        <f ca="1">VLOOKUP(C146, 패키지, 3, 0)</f>
        <v>세종 또만나 패키지</v>
      </c>
    </row>
    <row r="147" spans="1:13" x14ac:dyDescent="0.3">
      <c r="A147" s="14">
        <v>146</v>
      </c>
      <c r="B147" s="14">
        <v>21</v>
      </c>
      <c r="C147" s="14">
        <v>13</v>
      </c>
      <c r="D147" s="15">
        <v>44637</v>
      </c>
      <c r="E147" s="14">
        <v>0</v>
      </c>
      <c r="F147" s="14">
        <v>4</v>
      </c>
      <c r="G147" s="14">
        <v>4</v>
      </c>
      <c r="H147" s="14">
        <v>0</v>
      </c>
      <c r="I147" s="14">
        <v>120320</v>
      </c>
      <c r="J147" s="14">
        <v>90240</v>
      </c>
      <c r="K147" s="14">
        <v>210560</v>
      </c>
      <c r="L147" s="14" t="str">
        <f ca="1">VLOOKUP(B147, 회원, 4, 0)</f>
        <v>전자미</v>
      </c>
      <c r="M147" s="14" t="str">
        <f ca="1">VLOOKUP(C147, 패키지, 3, 0)</f>
        <v>경남 즐거운 패키지</v>
      </c>
    </row>
    <row r="148" spans="1:13" x14ac:dyDescent="0.3">
      <c r="A148" s="14">
        <v>147</v>
      </c>
      <c r="B148" s="14">
        <v>27</v>
      </c>
      <c r="C148" s="14">
        <v>21</v>
      </c>
      <c r="D148" s="15">
        <v>44638</v>
      </c>
      <c r="E148" s="14">
        <v>1</v>
      </c>
      <c r="F148" s="14">
        <v>4</v>
      </c>
      <c r="G148" s="14">
        <v>0</v>
      </c>
      <c r="H148" s="14">
        <v>20000</v>
      </c>
      <c r="I148" s="14">
        <v>64000</v>
      </c>
      <c r="J148" s="14">
        <v>0</v>
      </c>
      <c r="K148" s="14">
        <v>84000</v>
      </c>
      <c r="L148" s="14" t="str">
        <f ca="1">VLOOKUP(B148, 회원, 4, 0)</f>
        <v>홍아람</v>
      </c>
      <c r="M148" s="14" t="str">
        <f ca="1">VLOOKUP(C148, 패키지, 3, 0)</f>
        <v>대구 룰루랄라 패키지</v>
      </c>
    </row>
    <row r="149" spans="1:13" x14ac:dyDescent="0.3">
      <c r="A149" s="14">
        <v>148</v>
      </c>
      <c r="B149" s="14">
        <v>16</v>
      </c>
      <c r="C149" s="14">
        <v>41</v>
      </c>
      <c r="D149" s="15">
        <v>44639</v>
      </c>
      <c r="E149" s="14">
        <v>0</v>
      </c>
      <c r="F149" s="14">
        <v>2</v>
      </c>
      <c r="G149" s="14">
        <v>3</v>
      </c>
      <c r="H149" s="14">
        <v>0</v>
      </c>
      <c r="I149" s="14">
        <v>53760</v>
      </c>
      <c r="J149" s="14">
        <v>60480</v>
      </c>
      <c r="K149" s="14">
        <v>114240</v>
      </c>
      <c r="L149" s="14" t="str">
        <f ca="1">VLOOKUP(B149, 회원, 4, 0)</f>
        <v>유하나</v>
      </c>
      <c r="M149" s="14" t="str">
        <f ca="1">VLOOKUP(C149, 패키지, 3, 0)</f>
        <v>울산 추억 패키지</v>
      </c>
    </row>
    <row r="150" spans="1:13" x14ac:dyDescent="0.3">
      <c r="A150" s="14">
        <v>149</v>
      </c>
      <c r="B150" s="14">
        <v>1</v>
      </c>
      <c r="C150" s="14">
        <v>36</v>
      </c>
      <c r="D150" s="15">
        <v>44639</v>
      </c>
      <c r="E150" s="14">
        <v>2</v>
      </c>
      <c r="F150" s="14">
        <v>5</v>
      </c>
      <c r="G150" s="14">
        <v>1</v>
      </c>
      <c r="H150" s="14">
        <v>40500</v>
      </c>
      <c r="I150" s="14">
        <v>81000</v>
      </c>
      <c r="J150" s="14">
        <v>12150</v>
      </c>
      <c r="K150" s="14">
        <v>133650</v>
      </c>
      <c r="L150" s="14" t="str">
        <f ca="1">VLOOKUP(B150, 회원, 4, 0)</f>
        <v>감예쁨</v>
      </c>
      <c r="M150" s="14" t="str">
        <f ca="1">VLOOKUP(C150, 패키지, 3, 0)</f>
        <v>서울 즐거운 패키지</v>
      </c>
    </row>
    <row r="151" spans="1:13" x14ac:dyDescent="0.3">
      <c r="A151" s="14">
        <v>150</v>
      </c>
      <c r="B151" s="14">
        <v>14</v>
      </c>
      <c r="C151" s="14">
        <v>25</v>
      </c>
      <c r="D151" s="15">
        <v>44639</v>
      </c>
      <c r="E151" s="14">
        <v>4</v>
      </c>
      <c r="F151" s="14">
        <v>0</v>
      </c>
      <c r="G151" s="14">
        <v>5</v>
      </c>
      <c r="H151" s="14">
        <v>108000</v>
      </c>
      <c r="I151" s="14">
        <v>0</v>
      </c>
      <c r="J151" s="14">
        <v>81000</v>
      </c>
      <c r="K151" s="14">
        <v>189000</v>
      </c>
      <c r="L151" s="14" t="str">
        <f ca="1">VLOOKUP(B151, 회원, 4, 0)</f>
        <v>배보라</v>
      </c>
      <c r="M151" s="14" t="str">
        <f ca="1">VLOOKUP(C151, 패키지, 3, 0)</f>
        <v>대전 최고 패키지</v>
      </c>
    </row>
    <row r="152" spans="1:13" x14ac:dyDescent="0.3">
      <c r="A152" s="14">
        <v>151</v>
      </c>
      <c r="B152" s="14">
        <v>18</v>
      </c>
      <c r="C152" s="14">
        <v>40</v>
      </c>
      <c r="D152" s="15">
        <v>44639</v>
      </c>
      <c r="E152" s="14">
        <v>0</v>
      </c>
      <c r="F152" s="14">
        <v>0</v>
      </c>
      <c r="G152" s="14">
        <v>3</v>
      </c>
      <c r="H152" s="14">
        <v>0</v>
      </c>
      <c r="I152" s="14">
        <v>0</v>
      </c>
      <c r="J152" s="14">
        <v>46080</v>
      </c>
      <c r="K152" s="14">
        <v>46080</v>
      </c>
      <c r="L152" s="14" t="str">
        <f ca="1">VLOOKUP(B152, 회원, 4, 0)</f>
        <v>이상구</v>
      </c>
      <c r="M152" s="14" t="str">
        <f ca="1">VLOOKUP(C152, 패키지, 3, 0)</f>
        <v>울산 선샤인 패키지</v>
      </c>
    </row>
    <row r="153" spans="1:13" x14ac:dyDescent="0.3">
      <c r="A153" s="14">
        <v>152</v>
      </c>
      <c r="B153" s="14">
        <v>18</v>
      </c>
      <c r="C153" s="14">
        <v>18</v>
      </c>
      <c r="D153" s="15">
        <v>44640</v>
      </c>
      <c r="E153" s="14">
        <v>1</v>
      </c>
      <c r="F153" s="14">
        <v>0</v>
      </c>
      <c r="G153" s="14">
        <v>2</v>
      </c>
      <c r="H153" s="14">
        <v>26100</v>
      </c>
      <c r="I153" s="14">
        <v>0</v>
      </c>
      <c r="J153" s="14">
        <v>31320</v>
      </c>
      <c r="K153" s="14">
        <v>57420</v>
      </c>
      <c r="L153" s="14" t="str">
        <f ca="1">VLOOKUP(B153, 회원, 4, 0)</f>
        <v>이상구</v>
      </c>
      <c r="M153" s="14" t="str">
        <f ca="1">VLOOKUP(C153, 패키지, 3, 0)</f>
        <v>경북 행복한 패키지</v>
      </c>
    </row>
    <row r="154" spans="1:13" x14ac:dyDescent="0.3">
      <c r="A154" s="14">
        <v>153</v>
      </c>
      <c r="B154" s="14">
        <v>22</v>
      </c>
      <c r="C154" s="14">
        <v>15</v>
      </c>
      <c r="D154" s="15">
        <v>44640</v>
      </c>
      <c r="E154" s="14">
        <v>0</v>
      </c>
      <c r="F154" s="14">
        <v>2</v>
      </c>
      <c r="G154" s="14">
        <v>4</v>
      </c>
      <c r="H154" s="14">
        <v>0</v>
      </c>
      <c r="I154" s="14">
        <v>30240</v>
      </c>
      <c r="J154" s="14">
        <v>45360</v>
      </c>
      <c r="K154" s="14">
        <v>75600</v>
      </c>
      <c r="L154" s="14" t="str">
        <f ca="1">VLOOKUP(B154, 회원, 4, 0)</f>
        <v>조민성</v>
      </c>
      <c r="M154" s="14" t="str">
        <f ca="1">VLOOKUP(C154, 패키지, 3, 0)</f>
        <v>경북 맛집 패키지</v>
      </c>
    </row>
    <row r="155" spans="1:13" x14ac:dyDescent="0.3">
      <c r="A155" s="14">
        <v>154</v>
      </c>
      <c r="B155" s="14">
        <v>18</v>
      </c>
      <c r="C155" s="14">
        <v>46</v>
      </c>
      <c r="D155" s="15">
        <v>44640</v>
      </c>
      <c r="E155" s="14">
        <v>0</v>
      </c>
      <c r="F155" s="14">
        <v>2</v>
      </c>
      <c r="G155" s="14">
        <v>5</v>
      </c>
      <c r="H155" s="14">
        <v>0</v>
      </c>
      <c r="I155" s="14">
        <v>36480</v>
      </c>
      <c r="J155" s="14">
        <v>68400</v>
      </c>
      <c r="K155" s="14">
        <v>104880</v>
      </c>
      <c r="L155" s="14" t="str">
        <f ca="1">VLOOKUP(B155, 회원, 4, 0)</f>
        <v>이상구</v>
      </c>
      <c r="M155" s="14" t="str">
        <f ca="1">VLOOKUP(C155, 패키지, 3, 0)</f>
        <v>전남 해피 패키지</v>
      </c>
    </row>
    <row r="156" spans="1:13" x14ac:dyDescent="0.3">
      <c r="A156" s="14">
        <v>155</v>
      </c>
      <c r="B156" s="14">
        <v>15</v>
      </c>
      <c r="C156" s="14">
        <v>45</v>
      </c>
      <c r="D156" s="15">
        <v>44643</v>
      </c>
      <c r="E156" s="14">
        <v>0</v>
      </c>
      <c r="F156" s="14">
        <v>0</v>
      </c>
      <c r="G156" s="14">
        <v>1</v>
      </c>
      <c r="H156" s="14">
        <v>0</v>
      </c>
      <c r="I156" s="14">
        <v>0</v>
      </c>
      <c r="J156" s="14">
        <v>11880</v>
      </c>
      <c r="K156" s="14">
        <v>11880</v>
      </c>
      <c r="L156" s="14" t="str">
        <f ca="1">VLOOKUP(B156, 회원, 4, 0)</f>
        <v>변백현</v>
      </c>
      <c r="M156" s="14" t="str">
        <f ca="1">VLOOKUP(C156, 패키지, 3, 0)</f>
        <v>전남 선샤인 패키지</v>
      </c>
    </row>
    <row r="157" spans="1:13" x14ac:dyDescent="0.3">
      <c r="A157" s="14">
        <v>156</v>
      </c>
      <c r="B157" s="14">
        <v>20</v>
      </c>
      <c r="C157" s="14">
        <v>55</v>
      </c>
      <c r="D157" s="15">
        <v>44643</v>
      </c>
      <c r="E157" s="14">
        <v>0</v>
      </c>
      <c r="F157" s="14">
        <v>2</v>
      </c>
      <c r="G157" s="14">
        <v>4</v>
      </c>
      <c r="H157" s="14">
        <v>0</v>
      </c>
      <c r="I157" s="14">
        <v>23616</v>
      </c>
      <c r="J157" s="14">
        <v>35424</v>
      </c>
      <c r="K157" s="14">
        <v>59040</v>
      </c>
      <c r="L157" s="14" t="str">
        <f ca="1">VLOOKUP(B157, 회원, 4, 0)</f>
        <v>이영주</v>
      </c>
      <c r="M157" s="14" t="str">
        <f ca="1">VLOOKUP(C157, 패키지, 3, 0)</f>
        <v>충남 룰루랄라 패키지</v>
      </c>
    </row>
    <row r="158" spans="1:13" x14ac:dyDescent="0.3">
      <c r="A158" s="14">
        <v>157</v>
      </c>
      <c r="B158" s="14">
        <v>4</v>
      </c>
      <c r="C158" s="14">
        <v>48</v>
      </c>
      <c r="D158" s="15">
        <v>44643</v>
      </c>
      <c r="E158" s="14">
        <v>3</v>
      </c>
      <c r="F158" s="14">
        <v>2</v>
      </c>
      <c r="G158" s="14">
        <v>1</v>
      </c>
      <c r="H158" s="14">
        <v>55200</v>
      </c>
      <c r="I158" s="14">
        <v>29440</v>
      </c>
      <c r="J158" s="14">
        <v>11040</v>
      </c>
      <c r="K158" s="14">
        <v>95680</v>
      </c>
      <c r="L158" s="14" t="str">
        <f ca="1">VLOOKUP(B158, 회원, 4, 0)</f>
        <v>김설아</v>
      </c>
      <c r="M158" s="14" t="str">
        <f ca="1">VLOOKUP(C158, 패키지, 3, 0)</f>
        <v>전북 선샤인 패키지</v>
      </c>
    </row>
    <row r="159" spans="1:13" x14ac:dyDescent="0.3">
      <c r="A159" s="14">
        <v>158</v>
      </c>
      <c r="B159" s="14">
        <v>21</v>
      </c>
      <c r="C159" s="14">
        <v>3</v>
      </c>
      <c r="D159" s="15">
        <v>44643</v>
      </c>
      <c r="E159" s="14">
        <v>2</v>
      </c>
      <c r="F159" s="14">
        <v>0</v>
      </c>
      <c r="G159" s="14">
        <v>4</v>
      </c>
      <c r="H159" s="14">
        <v>53440</v>
      </c>
      <c r="I159" s="14">
        <v>0</v>
      </c>
      <c r="J159" s="14">
        <v>64128</v>
      </c>
      <c r="K159" s="14">
        <v>117568</v>
      </c>
      <c r="L159" s="14" t="str">
        <f ca="1">VLOOKUP(B159, 회원, 4, 0)</f>
        <v>전자미</v>
      </c>
      <c r="M159" s="14" t="str">
        <f ca="1">VLOOKUP(C159, 패키지, 3, 0)</f>
        <v>강원 할인 패키지</v>
      </c>
    </row>
    <row r="160" spans="1:13" x14ac:dyDescent="0.3">
      <c r="A160" s="14">
        <v>159</v>
      </c>
      <c r="B160" s="14">
        <v>3</v>
      </c>
      <c r="C160" s="14">
        <v>34</v>
      </c>
      <c r="D160" s="15">
        <v>44644</v>
      </c>
      <c r="E160" s="14">
        <v>4</v>
      </c>
      <c r="F160" s="14">
        <v>2</v>
      </c>
      <c r="G160" s="14">
        <v>2</v>
      </c>
      <c r="H160" s="14">
        <v>107200</v>
      </c>
      <c r="I160" s="14">
        <v>42880</v>
      </c>
      <c r="J160" s="14">
        <v>32160</v>
      </c>
      <c r="K160" s="14">
        <v>182240</v>
      </c>
      <c r="L160" s="14" t="str">
        <f ca="1">VLOOKUP(B160, 회원, 4, 0)</f>
        <v>김경영</v>
      </c>
      <c r="M160" s="14" t="str">
        <f ca="1">VLOOKUP(C160, 패키지, 3, 0)</f>
        <v>서울 베스트 패키지</v>
      </c>
    </row>
    <row r="161" spans="1:13" x14ac:dyDescent="0.3">
      <c r="A161" s="14">
        <v>160</v>
      </c>
      <c r="B161" s="14">
        <v>23</v>
      </c>
      <c r="C161" s="14">
        <v>57</v>
      </c>
      <c r="D161" s="15">
        <v>44644</v>
      </c>
      <c r="E161" s="14">
        <v>3</v>
      </c>
      <c r="F161" s="14">
        <v>0</v>
      </c>
      <c r="G161" s="14">
        <v>0</v>
      </c>
      <c r="H161" s="14">
        <v>60240</v>
      </c>
      <c r="I161" s="14">
        <v>0</v>
      </c>
      <c r="J161" s="14">
        <v>0</v>
      </c>
      <c r="K161" s="14">
        <v>60240</v>
      </c>
      <c r="L161" s="14" t="str">
        <f ca="1">VLOOKUP(B161, 회원, 4, 0)</f>
        <v>조아영</v>
      </c>
      <c r="M161" s="14" t="str">
        <f ca="1">VLOOKUP(C161, 패키지, 3, 0)</f>
        <v>충북 베스트 패키지</v>
      </c>
    </row>
    <row r="162" spans="1:13" x14ac:dyDescent="0.3">
      <c r="A162" s="14">
        <v>161</v>
      </c>
      <c r="B162" s="14">
        <v>10</v>
      </c>
      <c r="C162" s="14">
        <v>3</v>
      </c>
      <c r="D162" s="15">
        <v>44644</v>
      </c>
      <c r="E162" s="14">
        <v>4</v>
      </c>
      <c r="F162" s="14">
        <v>0</v>
      </c>
      <c r="G162" s="14">
        <v>2</v>
      </c>
      <c r="H162" s="14">
        <v>106880</v>
      </c>
      <c r="I162" s="14">
        <v>0</v>
      </c>
      <c r="J162" s="14">
        <v>32064</v>
      </c>
      <c r="K162" s="14">
        <v>138944</v>
      </c>
      <c r="L162" s="14" t="str">
        <f ca="1">VLOOKUP(B162, 회원, 4, 0)</f>
        <v>나종대</v>
      </c>
      <c r="M162" s="14" t="str">
        <f ca="1">VLOOKUP(C162, 패키지, 3, 0)</f>
        <v>강원 할인 패키지</v>
      </c>
    </row>
    <row r="163" spans="1:13" x14ac:dyDescent="0.3">
      <c r="A163" s="14">
        <v>162</v>
      </c>
      <c r="B163" s="14">
        <v>24</v>
      </c>
      <c r="C163" s="14">
        <v>57</v>
      </c>
      <c r="D163" s="15">
        <v>44644</v>
      </c>
      <c r="E163" s="14">
        <v>1</v>
      </c>
      <c r="F163" s="14">
        <v>1</v>
      </c>
      <c r="G163" s="14">
        <v>5</v>
      </c>
      <c r="H163" s="14">
        <v>20080</v>
      </c>
      <c r="I163" s="14">
        <v>16064</v>
      </c>
      <c r="J163" s="14">
        <v>60240</v>
      </c>
      <c r="K163" s="14">
        <v>96384</v>
      </c>
      <c r="L163" s="14" t="str">
        <f ca="1">VLOOKUP(B163, 회원, 4, 0)</f>
        <v>하주연</v>
      </c>
      <c r="M163" s="14" t="str">
        <f ca="1">VLOOKUP(C163, 패키지, 3, 0)</f>
        <v>충북 베스트 패키지</v>
      </c>
    </row>
    <row r="164" spans="1:13" x14ac:dyDescent="0.3">
      <c r="A164" s="14">
        <v>163</v>
      </c>
      <c r="B164" s="14">
        <v>14</v>
      </c>
      <c r="C164" s="14">
        <v>51</v>
      </c>
      <c r="D164" s="15">
        <v>44644</v>
      </c>
      <c r="E164" s="14">
        <v>0</v>
      </c>
      <c r="F164" s="14">
        <v>2</v>
      </c>
      <c r="G164" s="14">
        <v>3</v>
      </c>
      <c r="H164" s="14">
        <v>0</v>
      </c>
      <c r="I164" s="14">
        <v>15840</v>
      </c>
      <c r="J164" s="14">
        <v>17820</v>
      </c>
      <c r="K164" s="14">
        <v>33660</v>
      </c>
      <c r="L164" s="14" t="str">
        <f ca="1">VLOOKUP(B164, 회원, 4, 0)</f>
        <v>배보라</v>
      </c>
      <c r="M164" s="14" t="str">
        <f ca="1">VLOOKUP(C164, 패키지, 3, 0)</f>
        <v>제주 반가워 패키지</v>
      </c>
    </row>
    <row r="165" spans="1:13" x14ac:dyDescent="0.3">
      <c r="A165" s="14">
        <v>164</v>
      </c>
      <c r="B165" s="14">
        <v>11</v>
      </c>
      <c r="C165" s="14">
        <v>22</v>
      </c>
      <c r="D165" s="15">
        <v>44645</v>
      </c>
      <c r="E165" s="14">
        <v>0</v>
      </c>
      <c r="F165" s="14">
        <v>3</v>
      </c>
      <c r="G165" s="14">
        <v>1</v>
      </c>
      <c r="H165" s="14">
        <v>0</v>
      </c>
      <c r="I165" s="14">
        <v>30240</v>
      </c>
      <c r="J165" s="14">
        <v>7560</v>
      </c>
      <c r="K165" s="14">
        <v>37800</v>
      </c>
      <c r="L165" s="14" t="str">
        <f ca="1">VLOOKUP(B165, 회원, 4, 0)</f>
        <v>남정휴</v>
      </c>
      <c r="M165" s="14" t="str">
        <f ca="1">VLOOKUP(C165, 패키지, 3, 0)</f>
        <v>대구 추억가득 패키지</v>
      </c>
    </row>
    <row r="166" spans="1:13" x14ac:dyDescent="0.3">
      <c r="A166" s="14">
        <v>165</v>
      </c>
      <c r="B166" s="14">
        <v>19</v>
      </c>
      <c r="C166" s="14">
        <v>9</v>
      </c>
      <c r="D166" s="15">
        <v>44646</v>
      </c>
      <c r="E166" s="14">
        <v>1</v>
      </c>
      <c r="F166" s="14">
        <v>4</v>
      </c>
      <c r="G166" s="14">
        <v>5</v>
      </c>
      <c r="H166" s="14">
        <v>31200</v>
      </c>
      <c r="I166" s="14">
        <v>99840</v>
      </c>
      <c r="J166" s="14">
        <v>93600</v>
      </c>
      <c r="K166" s="14">
        <v>224640</v>
      </c>
      <c r="L166" s="14" t="str">
        <f ca="1">VLOOKUP(B166, 회원, 4, 0)</f>
        <v>이소윤</v>
      </c>
      <c r="M166" s="14" t="str">
        <f ca="1">VLOOKUP(C166, 패키지, 3, 0)</f>
        <v>경남 배고파 패키지</v>
      </c>
    </row>
    <row r="167" spans="1:13" x14ac:dyDescent="0.3">
      <c r="A167" s="14">
        <v>166</v>
      </c>
      <c r="B167" s="14">
        <v>11</v>
      </c>
      <c r="C167" s="14">
        <v>47</v>
      </c>
      <c r="D167" s="15">
        <v>44646</v>
      </c>
      <c r="E167" s="14">
        <v>2</v>
      </c>
      <c r="F167" s="14">
        <v>5</v>
      </c>
      <c r="G167" s="14">
        <v>2</v>
      </c>
      <c r="H167" s="14">
        <v>23400</v>
      </c>
      <c r="I167" s="14">
        <v>46800</v>
      </c>
      <c r="J167" s="14">
        <v>14040</v>
      </c>
      <c r="K167" s="14">
        <v>84240</v>
      </c>
      <c r="L167" s="14" t="str">
        <f ca="1">VLOOKUP(B167, 회원, 4, 0)</f>
        <v>남정휴</v>
      </c>
      <c r="M167" s="14" t="str">
        <f ca="1">VLOOKUP(C167, 패키지, 3, 0)</f>
        <v>전남 맛집 패키지</v>
      </c>
    </row>
    <row r="168" spans="1:13" x14ac:dyDescent="0.3">
      <c r="A168" s="14">
        <v>167</v>
      </c>
      <c r="B168" s="14">
        <v>19</v>
      </c>
      <c r="C168" s="14">
        <v>20</v>
      </c>
      <c r="D168" s="15">
        <v>44647</v>
      </c>
      <c r="E168" s="14">
        <v>1</v>
      </c>
      <c r="F168" s="14">
        <v>1</v>
      </c>
      <c r="G168" s="14">
        <v>2</v>
      </c>
      <c r="H168" s="14">
        <v>23800</v>
      </c>
      <c r="I168" s="14">
        <v>19040</v>
      </c>
      <c r="J168" s="14">
        <v>28560</v>
      </c>
      <c r="K168" s="14">
        <v>71400</v>
      </c>
      <c r="L168" s="14" t="str">
        <f ca="1">VLOOKUP(B168, 회원, 4, 0)</f>
        <v>이소윤</v>
      </c>
      <c r="M168" s="14" t="str">
        <f ca="1">VLOOKUP(C168, 패키지, 3, 0)</f>
        <v>광주 즐거운 패키지</v>
      </c>
    </row>
    <row r="169" spans="1:13" x14ac:dyDescent="0.3">
      <c r="A169" s="14">
        <v>168</v>
      </c>
      <c r="B169" s="14">
        <v>19</v>
      </c>
      <c r="C169" s="14">
        <v>38</v>
      </c>
      <c r="D169" s="15">
        <v>44648</v>
      </c>
      <c r="E169" s="14">
        <v>4</v>
      </c>
      <c r="F169" s="14">
        <v>5</v>
      </c>
      <c r="G169" s="14">
        <v>1</v>
      </c>
      <c r="H169" s="14">
        <v>28800</v>
      </c>
      <c r="I169" s="14">
        <v>28800</v>
      </c>
      <c r="J169" s="14">
        <v>4320</v>
      </c>
      <c r="K169" s="14">
        <v>61920</v>
      </c>
      <c r="L169" s="14" t="str">
        <f ca="1">VLOOKUP(B169, 회원, 4, 0)</f>
        <v>이소윤</v>
      </c>
      <c r="M169" s="14" t="str">
        <f ca="1">VLOOKUP(C169, 패키지, 3, 0)</f>
        <v>세종 또만나 패키지</v>
      </c>
    </row>
    <row r="170" spans="1:13" x14ac:dyDescent="0.3">
      <c r="A170" s="14">
        <v>169</v>
      </c>
      <c r="B170" s="14">
        <v>7</v>
      </c>
      <c r="C170" s="14">
        <v>52</v>
      </c>
      <c r="D170" s="15">
        <v>44649</v>
      </c>
      <c r="E170" s="14">
        <v>4</v>
      </c>
      <c r="F170" s="14">
        <v>4</v>
      </c>
      <c r="G170" s="14">
        <v>3</v>
      </c>
      <c r="H170" s="14">
        <v>64800</v>
      </c>
      <c r="I170" s="14">
        <v>51840</v>
      </c>
      <c r="J170" s="14">
        <v>29160</v>
      </c>
      <c r="K170" s="14">
        <v>145800</v>
      </c>
      <c r="L170" s="14" t="str">
        <f ca="1">VLOOKUP(B170, 회원, 4, 0)</f>
        <v>김숙희</v>
      </c>
      <c r="M170" s="14" t="str">
        <f ca="1">VLOOKUP(C170, 패키지, 3, 0)</f>
        <v>제주 베스트 패키지</v>
      </c>
    </row>
    <row r="171" spans="1:13" x14ac:dyDescent="0.3">
      <c r="A171" s="14">
        <v>170</v>
      </c>
      <c r="B171" s="14">
        <v>1</v>
      </c>
      <c r="C171" s="14">
        <v>50</v>
      </c>
      <c r="D171" s="15">
        <v>44650</v>
      </c>
      <c r="E171" s="14">
        <v>2</v>
      </c>
      <c r="F171" s="14">
        <v>4</v>
      </c>
      <c r="G171" s="14">
        <v>1</v>
      </c>
      <c r="H171" s="14">
        <v>68400</v>
      </c>
      <c r="I171" s="14">
        <v>109440</v>
      </c>
      <c r="J171" s="14">
        <v>20520</v>
      </c>
      <c r="K171" s="14">
        <v>198360</v>
      </c>
      <c r="L171" s="14" t="str">
        <f ca="1">VLOOKUP(B171, 회원, 4, 0)</f>
        <v>감예쁨</v>
      </c>
      <c r="M171" s="14" t="str">
        <f ca="1">VLOOKUP(C171, 패키지, 3, 0)</f>
        <v>전북 맛집 패키지</v>
      </c>
    </row>
    <row r="172" spans="1:13" x14ac:dyDescent="0.3">
      <c r="A172" s="14">
        <v>171</v>
      </c>
      <c r="B172" s="14">
        <v>15</v>
      </c>
      <c r="C172" s="14">
        <v>51</v>
      </c>
      <c r="D172" s="15">
        <v>44651</v>
      </c>
      <c r="E172" s="14">
        <v>5</v>
      </c>
      <c r="F172" s="14">
        <v>3</v>
      </c>
      <c r="G172" s="14">
        <v>4</v>
      </c>
      <c r="H172" s="14">
        <v>49500</v>
      </c>
      <c r="I172" s="14">
        <v>23760</v>
      </c>
      <c r="J172" s="14">
        <v>23760</v>
      </c>
      <c r="K172" s="14">
        <v>97020</v>
      </c>
      <c r="L172" s="14" t="str">
        <f ca="1">VLOOKUP(B172, 회원, 4, 0)</f>
        <v>변백현</v>
      </c>
      <c r="M172" s="14" t="str">
        <f ca="1">VLOOKUP(C172, 패키지, 3, 0)</f>
        <v>제주 반가워 패키지</v>
      </c>
    </row>
    <row r="173" spans="1:13" x14ac:dyDescent="0.3">
      <c r="A173" s="14">
        <v>172</v>
      </c>
      <c r="B173" s="14">
        <v>25</v>
      </c>
      <c r="C173" s="14">
        <v>35</v>
      </c>
      <c r="D173" s="15">
        <v>44651</v>
      </c>
      <c r="E173" s="14">
        <v>5</v>
      </c>
      <c r="F173" s="14">
        <v>1</v>
      </c>
      <c r="G173" s="14">
        <v>4</v>
      </c>
      <c r="H173" s="14">
        <v>139500</v>
      </c>
      <c r="I173" s="14">
        <v>22320</v>
      </c>
      <c r="J173" s="14">
        <v>66960</v>
      </c>
      <c r="K173" s="14">
        <v>228780</v>
      </c>
      <c r="L173" s="14" t="str">
        <f ca="1">VLOOKUP(B173, 회원, 4, 0)</f>
        <v>홍길동</v>
      </c>
      <c r="M173" s="14" t="str">
        <f ca="1">VLOOKUP(C173, 패키지, 3, 0)</f>
        <v>서울 선샤인 패키지</v>
      </c>
    </row>
    <row r="174" spans="1:13" x14ac:dyDescent="0.3">
      <c r="A174" s="14">
        <v>173</v>
      </c>
      <c r="B174" s="14">
        <v>16</v>
      </c>
      <c r="C174" s="14">
        <v>6</v>
      </c>
      <c r="D174" s="15">
        <v>44651</v>
      </c>
      <c r="E174" s="14">
        <v>5</v>
      </c>
      <c r="F174" s="14">
        <v>5</v>
      </c>
      <c r="G174" s="14">
        <v>2</v>
      </c>
      <c r="H174" s="14">
        <v>134000</v>
      </c>
      <c r="I174" s="14">
        <v>107200</v>
      </c>
      <c r="J174" s="14">
        <v>32160</v>
      </c>
      <c r="K174" s="14">
        <v>273360</v>
      </c>
      <c r="L174" s="14" t="str">
        <f ca="1">VLOOKUP(B174, 회원, 4, 0)</f>
        <v>유하나</v>
      </c>
      <c r="M174" s="14" t="str">
        <f ca="1">VLOOKUP(C174, 패키지, 3, 0)</f>
        <v>경기 반가워 패키지</v>
      </c>
    </row>
    <row r="175" spans="1:13" x14ac:dyDescent="0.3">
      <c r="A175" s="14">
        <v>174</v>
      </c>
      <c r="B175" s="14">
        <v>12</v>
      </c>
      <c r="C175" s="14">
        <v>28</v>
      </c>
      <c r="D175" s="15">
        <v>44651</v>
      </c>
      <c r="E175" s="14">
        <v>4</v>
      </c>
      <c r="F175" s="14">
        <v>1</v>
      </c>
      <c r="G175" s="14">
        <v>3</v>
      </c>
      <c r="H175" s="14">
        <v>46800</v>
      </c>
      <c r="I175" s="14">
        <v>9360</v>
      </c>
      <c r="J175" s="14">
        <v>21060</v>
      </c>
      <c r="K175" s="14">
        <v>77220</v>
      </c>
      <c r="L175" s="14" t="str">
        <f ca="1">VLOOKUP(B175, 회원, 4, 0)</f>
        <v>박아름</v>
      </c>
      <c r="M175" s="14" t="str">
        <f ca="1">VLOOKUP(C175, 패키지, 3, 0)</f>
        <v>부산 선샤인 패키지</v>
      </c>
    </row>
    <row r="176" spans="1:13" x14ac:dyDescent="0.3">
      <c r="A176" s="14">
        <v>175</v>
      </c>
      <c r="B176" s="14">
        <v>13</v>
      </c>
      <c r="C176" s="14">
        <v>49</v>
      </c>
      <c r="D176" s="15">
        <v>44652</v>
      </c>
      <c r="E176" s="14">
        <v>1</v>
      </c>
      <c r="F176" s="14">
        <v>4</v>
      </c>
      <c r="G176" s="14">
        <v>5</v>
      </c>
      <c r="H176" s="14">
        <v>31200</v>
      </c>
      <c r="I176" s="14">
        <v>99840</v>
      </c>
      <c r="J176" s="14">
        <v>93600</v>
      </c>
      <c r="K176" s="14">
        <v>224640</v>
      </c>
      <c r="L176" s="14" t="str">
        <f ca="1">VLOOKUP(B176, 회원, 4, 0)</f>
        <v>박지성</v>
      </c>
      <c r="M176" s="14" t="str">
        <f ca="1">VLOOKUP(C176, 패키지, 3, 0)</f>
        <v>전북 최고 패키지</v>
      </c>
    </row>
    <row r="177" spans="1:13" x14ac:dyDescent="0.3">
      <c r="A177" s="14">
        <v>176</v>
      </c>
      <c r="B177" s="14">
        <v>12</v>
      </c>
      <c r="C177" s="14">
        <v>53</v>
      </c>
      <c r="D177" s="15">
        <v>44652</v>
      </c>
      <c r="E177" s="14">
        <v>0</v>
      </c>
      <c r="F177" s="14">
        <v>3</v>
      </c>
      <c r="G177" s="14">
        <v>3</v>
      </c>
      <c r="H177" s="14">
        <v>0</v>
      </c>
      <c r="I177" s="14">
        <v>44160</v>
      </c>
      <c r="J177" s="14">
        <v>33120</v>
      </c>
      <c r="K177" s="14">
        <v>77280</v>
      </c>
      <c r="L177" s="14" t="str">
        <f ca="1">VLOOKUP(B177, 회원, 4, 0)</f>
        <v>박아름</v>
      </c>
      <c r="M177" s="14" t="str">
        <f ca="1">VLOOKUP(C177, 패키지, 3, 0)</f>
        <v>제주 룰루랄라 패키지</v>
      </c>
    </row>
    <row r="178" spans="1:13" x14ac:dyDescent="0.3">
      <c r="A178" s="14">
        <v>177</v>
      </c>
      <c r="B178" s="14">
        <v>26</v>
      </c>
      <c r="C178" s="14">
        <v>55</v>
      </c>
      <c r="D178" s="15">
        <v>44652</v>
      </c>
      <c r="E178" s="14">
        <v>5</v>
      </c>
      <c r="F178" s="14">
        <v>1</v>
      </c>
      <c r="G178" s="14">
        <v>3</v>
      </c>
      <c r="H178" s="14">
        <v>73800</v>
      </c>
      <c r="I178" s="14">
        <v>11808</v>
      </c>
      <c r="J178" s="14">
        <v>26568</v>
      </c>
      <c r="K178" s="14">
        <v>112176</v>
      </c>
      <c r="L178" s="14" t="str">
        <f ca="1">VLOOKUP(B178, 회원, 4, 0)</f>
        <v>홍성장</v>
      </c>
      <c r="M178" s="14" t="str">
        <f ca="1">VLOOKUP(C178, 패키지, 3, 0)</f>
        <v>충남 룰루랄라 패키지</v>
      </c>
    </row>
    <row r="179" spans="1:13" x14ac:dyDescent="0.3">
      <c r="A179" s="14">
        <v>178</v>
      </c>
      <c r="B179" s="14">
        <v>21</v>
      </c>
      <c r="C179" s="14">
        <v>44</v>
      </c>
      <c r="D179" s="15">
        <v>44653</v>
      </c>
      <c r="E179" s="14">
        <v>3</v>
      </c>
      <c r="F179" s="14">
        <v>2</v>
      </c>
      <c r="G179" s="14">
        <v>3</v>
      </c>
      <c r="H179" s="14">
        <v>43200</v>
      </c>
      <c r="I179" s="14">
        <v>23040</v>
      </c>
      <c r="J179" s="14">
        <v>25920</v>
      </c>
      <c r="K179" s="14">
        <v>92160</v>
      </c>
      <c r="L179" s="14" t="str">
        <f ca="1">VLOOKUP(B179, 회원, 4, 0)</f>
        <v>전자미</v>
      </c>
      <c r="M179" s="14" t="str">
        <f ca="1">VLOOKUP(C179, 패키지, 3, 0)</f>
        <v>인천 즐거운 패키지</v>
      </c>
    </row>
    <row r="180" spans="1:13" x14ac:dyDescent="0.3">
      <c r="A180" s="14">
        <v>179</v>
      </c>
      <c r="B180" s="14">
        <v>12</v>
      </c>
      <c r="C180" s="14">
        <v>40</v>
      </c>
      <c r="D180" s="15">
        <v>44653</v>
      </c>
      <c r="E180" s="14">
        <v>5</v>
      </c>
      <c r="F180" s="14">
        <v>2</v>
      </c>
      <c r="G180" s="14">
        <v>5</v>
      </c>
      <c r="H180" s="14">
        <v>128000</v>
      </c>
      <c r="I180" s="14">
        <v>40960</v>
      </c>
      <c r="J180" s="14">
        <v>76800</v>
      </c>
      <c r="K180" s="14">
        <v>245760</v>
      </c>
      <c r="L180" s="14" t="str">
        <f ca="1">VLOOKUP(B180, 회원, 4, 0)</f>
        <v>박아름</v>
      </c>
      <c r="M180" s="14" t="str">
        <f ca="1">VLOOKUP(C180, 패키지, 3, 0)</f>
        <v>울산 선샤인 패키지</v>
      </c>
    </row>
    <row r="181" spans="1:13" x14ac:dyDescent="0.3">
      <c r="A181" s="14">
        <v>180</v>
      </c>
      <c r="B181" s="14">
        <v>8</v>
      </c>
      <c r="C181" s="14">
        <v>49</v>
      </c>
      <c r="D181" s="15">
        <v>44653</v>
      </c>
      <c r="E181" s="14">
        <v>1</v>
      </c>
      <c r="F181" s="14">
        <v>0</v>
      </c>
      <c r="G181" s="14">
        <v>5</v>
      </c>
      <c r="H181" s="14">
        <v>31200</v>
      </c>
      <c r="I181" s="14">
        <v>0</v>
      </c>
      <c r="J181" s="14">
        <v>93600</v>
      </c>
      <c r="K181" s="14">
        <v>124800</v>
      </c>
      <c r="L181" s="14" t="str">
        <f ca="1">VLOOKUP(B181, 회원, 4, 0)</f>
        <v>김연우</v>
      </c>
      <c r="M181" s="14" t="str">
        <f ca="1">VLOOKUP(C181, 패키지, 3, 0)</f>
        <v>전북 최고 패키지</v>
      </c>
    </row>
    <row r="182" spans="1:13" x14ac:dyDescent="0.3">
      <c r="A182" s="14">
        <v>181</v>
      </c>
      <c r="B182" s="14">
        <v>11</v>
      </c>
      <c r="C182" s="14">
        <v>56</v>
      </c>
      <c r="D182" s="15">
        <v>44654</v>
      </c>
      <c r="E182" s="14">
        <v>3</v>
      </c>
      <c r="F182" s="14">
        <v>4</v>
      </c>
      <c r="G182" s="14">
        <v>5</v>
      </c>
      <c r="H182" s="14">
        <v>67230</v>
      </c>
      <c r="I182" s="14">
        <v>71712</v>
      </c>
      <c r="J182" s="14">
        <v>67230</v>
      </c>
      <c r="K182" s="14">
        <v>206172</v>
      </c>
      <c r="L182" s="14" t="str">
        <f ca="1">VLOOKUP(B182, 회원, 4, 0)</f>
        <v>남정휴</v>
      </c>
      <c r="M182" s="14" t="str">
        <f ca="1">VLOOKUP(C182, 패키지, 3, 0)</f>
        <v>충북 반가워 패키지</v>
      </c>
    </row>
    <row r="183" spans="1:13" x14ac:dyDescent="0.3">
      <c r="A183" s="14">
        <v>182</v>
      </c>
      <c r="B183" s="14">
        <v>3</v>
      </c>
      <c r="C183" s="14">
        <v>32</v>
      </c>
      <c r="D183" s="15">
        <v>44655</v>
      </c>
      <c r="E183" s="14">
        <v>5</v>
      </c>
      <c r="F183" s="14">
        <v>5</v>
      </c>
      <c r="G183" s="14">
        <v>2</v>
      </c>
      <c r="H183" s="14">
        <v>127500</v>
      </c>
      <c r="I183" s="14">
        <v>102000</v>
      </c>
      <c r="J183" s="14">
        <v>30600</v>
      </c>
      <c r="K183" s="14">
        <v>260100</v>
      </c>
      <c r="L183" s="14" t="str">
        <f ca="1">VLOOKUP(B183, 회원, 4, 0)</f>
        <v>김경영</v>
      </c>
      <c r="M183" s="14" t="str">
        <f ca="1">VLOOKUP(C183, 패키지, 3, 0)</f>
        <v>서울 반가워 패키지</v>
      </c>
    </row>
    <row r="184" spans="1:13" x14ac:dyDescent="0.3">
      <c r="A184" s="14">
        <v>183</v>
      </c>
      <c r="B184" s="14">
        <v>18</v>
      </c>
      <c r="C184" s="14">
        <v>23</v>
      </c>
      <c r="D184" s="15">
        <v>44655</v>
      </c>
      <c r="E184" s="14">
        <v>1</v>
      </c>
      <c r="F184" s="14">
        <v>0</v>
      </c>
      <c r="G184" s="14">
        <v>2</v>
      </c>
      <c r="H184" s="14">
        <v>6300</v>
      </c>
      <c r="I184" s="14">
        <v>0</v>
      </c>
      <c r="J184" s="14">
        <v>7560</v>
      </c>
      <c r="K184" s="14">
        <v>13860</v>
      </c>
      <c r="L184" s="14" t="str">
        <f ca="1">VLOOKUP(B184, 회원, 4, 0)</f>
        <v>이상구</v>
      </c>
      <c r="M184" s="14" t="str">
        <f ca="1">VLOOKUP(C184, 패키지, 3, 0)</f>
        <v>대전 반가워 패키지</v>
      </c>
    </row>
    <row r="185" spans="1:13" x14ac:dyDescent="0.3">
      <c r="A185" s="14">
        <v>184</v>
      </c>
      <c r="B185" s="14">
        <v>8</v>
      </c>
      <c r="C185" s="14">
        <v>39</v>
      </c>
      <c r="D185" s="15">
        <v>44655</v>
      </c>
      <c r="E185" s="14">
        <v>4</v>
      </c>
      <c r="F185" s="14">
        <v>1</v>
      </c>
      <c r="G185" s="14">
        <v>2</v>
      </c>
      <c r="H185" s="14">
        <v>75600</v>
      </c>
      <c r="I185" s="14">
        <v>15120</v>
      </c>
      <c r="J185" s="14">
        <v>22680</v>
      </c>
      <c r="K185" s="14">
        <v>113400</v>
      </c>
      <c r="L185" s="14" t="str">
        <f ca="1">VLOOKUP(B185, 회원, 4, 0)</f>
        <v>김연우</v>
      </c>
      <c r="M185" s="14" t="str">
        <f ca="1">VLOOKUP(C185, 패키지, 3, 0)</f>
        <v>울산 카페투어 패키지</v>
      </c>
    </row>
    <row r="186" spans="1:13" x14ac:dyDescent="0.3">
      <c r="A186" s="14">
        <v>185</v>
      </c>
      <c r="B186" s="14">
        <v>23</v>
      </c>
      <c r="C186" s="14">
        <v>12</v>
      </c>
      <c r="D186" s="15">
        <v>44656</v>
      </c>
      <c r="E186" s="14">
        <v>4</v>
      </c>
      <c r="F186" s="14">
        <v>2</v>
      </c>
      <c r="G186" s="14">
        <v>2</v>
      </c>
      <c r="H186" s="14">
        <v>54000</v>
      </c>
      <c r="I186" s="14">
        <v>21600</v>
      </c>
      <c r="J186" s="14">
        <v>16200</v>
      </c>
      <c r="K186" s="14">
        <v>91800</v>
      </c>
      <c r="L186" s="14" t="str">
        <f ca="1">VLOOKUP(B186, 회원, 4, 0)</f>
        <v>조아영</v>
      </c>
      <c r="M186" s="14" t="str">
        <f ca="1">VLOOKUP(C186, 패키지, 3, 0)</f>
        <v>경남 좋은 패키지</v>
      </c>
    </row>
    <row r="187" spans="1:13" x14ac:dyDescent="0.3">
      <c r="A187" s="14">
        <v>186</v>
      </c>
      <c r="B187" s="14">
        <v>14</v>
      </c>
      <c r="C187" s="14">
        <v>44</v>
      </c>
      <c r="D187" s="15">
        <v>44656</v>
      </c>
      <c r="E187" s="14">
        <v>3</v>
      </c>
      <c r="F187" s="14">
        <v>3</v>
      </c>
      <c r="G187" s="14">
        <v>4</v>
      </c>
      <c r="H187" s="14">
        <v>43200</v>
      </c>
      <c r="I187" s="14">
        <v>34560</v>
      </c>
      <c r="J187" s="14">
        <v>34560</v>
      </c>
      <c r="K187" s="14">
        <v>112320</v>
      </c>
      <c r="L187" s="14" t="str">
        <f ca="1">VLOOKUP(B187, 회원, 4, 0)</f>
        <v>배보라</v>
      </c>
      <c r="M187" s="14" t="str">
        <f ca="1">VLOOKUP(C187, 패키지, 3, 0)</f>
        <v>인천 즐거운 패키지</v>
      </c>
    </row>
    <row r="188" spans="1:13" x14ac:dyDescent="0.3">
      <c r="A188" s="14">
        <v>187</v>
      </c>
      <c r="B188" s="14">
        <v>24</v>
      </c>
      <c r="C188" s="14">
        <v>32</v>
      </c>
      <c r="D188" s="15">
        <v>44656</v>
      </c>
      <c r="E188" s="14">
        <v>0</v>
      </c>
      <c r="F188" s="14">
        <v>3</v>
      </c>
      <c r="G188" s="14">
        <v>5</v>
      </c>
      <c r="H188" s="14">
        <v>0</v>
      </c>
      <c r="I188" s="14">
        <v>61200</v>
      </c>
      <c r="J188" s="14">
        <v>76500</v>
      </c>
      <c r="K188" s="14">
        <v>137700</v>
      </c>
      <c r="L188" s="14" t="str">
        <f ca="1">VLOOKUP(B188, 회원, 4, 0)</f>
        <v>하주연</v>
      </c>
      <c r="M188" s="14" t="str">
        <f ca="1">VLOOKUP(C188, 패키지, 3, 0)</f>
        <v>서울 반가워 패키지</v>
      </c>
    </row>
    <row r="189" spans="1:13" x14ac:dyDescent="0.3">
      <c r="A189" s="14">
        <v>188</v>
      </c>
      <c r="B189" s="14">
        <v>3</v>
      </c>
      <c r="C189" s="14">
        <v>10</v>
      </c>
      <c r="D189" s="15">
        <v>44656</v>
      </c>
      <c r="E189" s="14">
        <v>2</v>
      </c>
      <c r="F189" s="14">
        <v>5</v>
      </c>
      <c r="G189" s="14">
        <v>3</v>
      </c>
      <c r="H189" s="14">
        <v>44800</v>
      </c>
      <c r="I189" s="14">
        <v>89600</v>
      </c>
      <c r="J189" s="14">
        <v>40320</v>
      </c>
      <c r="K189" s="14">
        <v>174720</v>
      </c>
      <c r="L189" s="14" t="str">
        <f ca="1">VLOOKUP(B189, 회원, 4, 0)</f>
        <v>김경영</v>
      </c>
      <c r="M189" s="14" t="str">
        <f ca="1">VLOOKUP(C189, 패키지, 3, 0)</f>
        <v>경남 추억 패키지</v>
      </c>
    </row>
    <row r="190" spans="1:13" x14ac:dyDescent="0.3">
      <c r="A190" s="14">
        <v>189</v>
      </c>
      <c r="B190" s="14">
        <v>20</v>
      </c>
      <c r="C190" s="14">
        <v>18</v>
      </c>
      <c r="D190" s="15">
        <v>44656</v>
      </c>
      <c r="E190" s="14">
        <v>2</v>
      </c>
      <c r="F190" s="14">
        <v>5</v>
      </c>
      <c r="G190" s="14">
        <v>0</v>
      </c>
      <c r="H190" s="14">
        <v>52200</v>
      </c>
      <c r="I190" s="14">
        <v>104400</v>
      </c>
      <c r="J190" s="14">
        <v>0</v>
      </c>
      <c r="K190" s="14">
        <v>156600</v>
      </c>
      <c r="L190" s="14" t="str">
        <f ca="1">VLOOKUP(B190, 회원, 4, 0)</f>
        <v>이영주</v>
      </c>
      <c r="M190" s="14" t="str">
        <f ca="1">VLOOKUP(C190, 패키지, 3, 0)</f>
        <v>경북 행복한 패키지</v>
      </c>
    </row>
    <row r="191" spans="1:13" x14ac:dyDescent="0.3">
      <c r="A191" s="14">
        <v>190</v>
      </c>
      <c r="B191" s="14">
        <v>3</v>
      </c>
      <c r="C191" s="14">
        <v>56</v>
      </c>
      <c r="D191" s="15">
        <v>44657</v>
      </c>
      <c r="E191" s="14">
        <v>4</v>
      </c>
      <c r="F191" s="14">
        <v>5</v>
      </c>
      <c r="G191" s="14">
        <v>4</v>
      </c>
      <c r="H191" s="14">
        <v>89640</v>
      </c>
      <c r="I191" s="14">
        <v>89640</v>
      </c>
      <c r="J191" s="14">
        <v>53784</v>
      </c>
      <c r="K191" s="14">
        <v>233064</v>
      </c>
      <c r="L191" s="14" t="str">
        <f ca="1">VLOOKUP(B191, 회원, 4, 0)</f>
        <v>김경영</v>
      </c>
      <c r="M191" s="14" t="str">
        <f ca="1">VLOOKUP(C191, 패키지, 3, 0)</f>
        <v>충북 반가워 패키지</v>
      </c>
    </row>
    <row r="192" spans="1:13" x14ac:dyDescent="0.3">
      <c r="A192" s="14">
        <v>191</v>
      </c>
      <c r="B192" s="14">
        <v>7</v>
      </c>
      <c r="C192" s="14">
        <v>25</v>
      </c>
      <c r="D192" s="15">
        <v>44657</v>
      </c>
      <c r="E192" s="14">
        <v>4</v>
      </c>
      <c r="F192" s="14">
        <v>3</v>
      </c>
      <c r="G192" s="14">
        <v>1</v>
      </c>
      <c r="H192" s="14">
        <v>108000</v>
      </c>
      <c r="I192" s="14">
        <v>64800</v>
      </c>
      <c r="J192" s="14">
        <v>16200</v>
      </c>
      <c r="K192" s="14">
        <v>189000</v>
      </c>
      <c r="L192" s="14" t="str">
        <f ca="1">VLOOKUP(B192, 회원, 4, 0)</f>
        <v>김숙희</v>
      </c>
      <c r="M192" s="14" t="str">
        <f ca="1">VLOOKUP(C192, 패키지, 3, 0)</f>
        <v>대전 최고 패키지</v>
      </c>
    </row>
    <row r="193" spans="1:13" x14ac:dyDescent="0.3">
      <c r="A193" s="14">
        <v>192</v>
      </c>
      <c r="B193" s="14">
        <v>23</v>
      </c>
      <c r="C193" s="14">
        <v>43</v>
      </c>
      <c r="D193" s="15">
        <v>44657</v>
      </c>
      <c r="E193" s="14">
        <v>2</v>
      </c>
      <c r="F193" s="14">
        <v>5</v>
      </c>
      <c r="G193" s="14">
        <v>5</v>
      </c>
      <c r="H193" s="14">
        <v>43200</v>
      </c>
      <c r="I193" s="14">
        <v>86400</v>
      </c>
      <c r="J193" s="14">
        <v>64800</v>
      </c>
      <c r="K193" s="14">
        <v>194400</v>
      </c>
      <c r="L193" s="14" t="str">
        <f ca="1">VLOOKUP(B193, 회원, 4, 0)</f>
        <v>조아영</v>
      </c>
      <c r="M193" s="14" t="str">
        <f ca="1">VLOOKUP(C193, 패키지, 3, 0)</f>
        <v>인천 선샤인 패키지</v>
      </c>
    </row>
    <row r="194" spans="1:13" x14ac:dyDescent="0.3">
      <c r="A194" s="14">
        <v>193</v>
      </c>
      <c r="B194" s="14">
        <v>27</v>
      </c>
      <c r="C194" s="14">
        <v>47</v>
      </c>
      <c r="D194" s="15">
        <v>44657</v>
      </c>
      <c r="E194" s="14">
        <v>0</v>
      </c>
      <c r="F194" s="14">
        <v>0</v>
      </c>
      <c r="G194" s="14">
        <v>4</v>
      </c>
      <c r="H194" s="14">
        <v>0</v>
      </c>
      <c r="I194" s="14">
        <v>0</v>
      </c>
      <c r="J194" s="14">
        <v>28080</v>
      </c>
      <c r="K194" s="14">
        <v>28080</v>
      </c>
      <c r="L194" s="14" t="str">
        <f ca="1">VLOOKUP(B194, 회원, 4, 0)</f>
        <v>홍아람</v>
      </c>
      <c r="M194" s="14" t="str">
        <f ca="1">VLOOKUP(C194, 패키지, 3, 0)</f>
        <v>전남 맛집 패키지</v>
      </c>
    </row>
    <row r="195" spans="1:13" x14ac:dyDescent="0.3">
      <c r="A195" s="14">
        <v>194</v>
      </c>
      <c r="B195" s="14">
        <v>3</v>
      </c>
      <c r="C195" s="14">
        <v>19</v>
      </c>
      <c r="D195" s="15">
        <v>44658</v>
      </c>
      <c r="E195" s="14">
        <v>2</v>
      </c>
      <c r="F195" s="14">
        <v>2</v>
      </c>
      <c r="G195" s="14">
        <v>1</v>
      </c>
      <c r="H195" s="14">
        <v>37800</v>
      </c>
      <c r="I195" s="14">
        <v>30240</v>
      </c>
      <c r="J195" s="14">
        <v>11340</v>
      </c>
      <c r="K195" s="14">
        <v>79380</v>
      </c>
      <c r="L195" s="14" t="str">
        <f ca="1">VLOOKUP(B195, 회원, 4, 0)</f>
        <v>김경영</v>
      </c>
      <c r="M195" s="14" t="str">
        <f ca="1">VLOOKUP(C195, 패키지, 3, 0)</f>
        <v>광주 해피 패키지</v>
      </c>
    </row>
    <row r="196" spans="1:13" x14ac:dyDescent="0.3">
      <c r="A196" s="14">
        <v>195</v>
      </c>
      <c r="B196" s="14">
        <v>18</v>
      </c>
      <c r="C196" s="14">
        <v>20</v>
      </c>
      <c r="D196" s="15">
        <v>44658</v>
      </c>
      <c r="E196" s="14">
        <v>1</v>
      </c>
      <c r="F196" s="14">
        <v>5</v>
      </c>
      <c r="G196" s="14">
        <v>4</v>
      </c>
      <c r="H196" s="14">
        <v>23800</v>
      </c>
      <c r="I196" s="14">
        <v>95200</v>
      </c>
      <c r="J196" s="14">
        <v>57120</v>
      </c>
      <c r="K196" s="14">
        <v>176120</v>
      </c>
      <c r="L196" s="14" t="str">
        <f ca="1">VLOOKUP(B196, 회원, 4, 0)</f>
        <v>이상구</v>
      </c>
      <c r="M196" s="14" t="str">
        <f ca="1">VLOOKUP(C196, 패키지, 3, 0)</f>
        <v>광주 즐거운 패키지</v>
      </c>
    </row>
    <row r="197" spans="1:13" x14ac:dyDescent="0.3">
      <c r="A197" s="14">
        <v>196</v>
      </c>
      <c r="B197" s="14">
        <v>16</v>
      </c>
      <c r="C197" s="14">
        <v>5</v>
      </c>
      <c r="D197" s="15">
        <v>44658</v>
      </c>
      <c r="E197" s="14">
        <v>5</v>
      </c>
      <c r="F197" s="14">
        <v>5</v>
      </c>
      <c r="G197" s="14">
        <v>4</v>
      </c>
      <c r="H197" s="14">
        <v>117600</v>
      </c>
      <c r="I197" s="14">
        <v>94080</v>
      </c>
      <c r="J197" s="14">
        <v>56448</v>
      </c>
      <c r="K197" s="14">
        <v>268128</v>
      </c>
      <c r="L197" s="14" t="str">
        <f ca="1">VLOOKUP(B197, 회원, 4, 0)</f>
        <v>유하나</v>
      </c>
      <c r="M197" s="14" t="str">
        <f ca="1">VLOOKUP(C197, 패키지, 3, 0)</f>
        <v>강원 선샤인 패키지</v>
      </c>
    </row>
    <row r="198" spans="1:13" x14ac:dyDescent="0.3">
      <c r="A198" s="14">
        <v>197</v>
      </c>
      <c r="B198" s="14">
        <v>19</v>
      </c>
      <c r="C198" s="14">
        <v>36</v>
      </c>
      <c r="D198" s="15">
        <v>44658</v>
      </c>
      <c r="E198" s="14">
        <v>0</v>
      </c>
      <c r="F198" s="14">
        <v>2</v>
      </c>
      <c r="G198" s="14">
        <v>5</v>
      </c>
      <c r="H198" s="14">
        <v>0</v>
      </c>
      <c r="I198" s="14">
        <v>32400</v>
      </c>
      <c r="J198" s="14">
        <v>60750</v>
      </c>
      <c r="K198" s="14">
        <v>93150</v>
      </c>
      <c r="L198" s="14" t="str">
        <f ca="1">VLOOKUP(B198, 회원, 4, 0)</f>
        <v>이소윤</v>
      </c>
      <c r="M198" s="14" t="str">
        <f ca="1">VLOOKUP(C198, 패키지, 3, 0)</f>
        <v>서울 즐거운 패키지</v>
      </c>
    </row>
    <row r="199" spans="1:13" x14ac:dyDescent="0.3">
      <c r="A199" s="14">
        <v>198</v>
      </c>
      <c r="B199" s="14">
        <v>27</v>
      </c>
      <c r="C199" s="14">
        <v>50</v>
      </c>
      <c r="D199" s="15">
        <v>44658</v>
      </c>
      <c r="E199" s="14">
        <v>5</v>
      </c>
      <c r="F199" s="14">
        <v>3</v>
      </c>
      <c r="G199" s="14">
        <v>5</v>
      </c>
      <c r="H199" s="14">
        <v>171000</v>
      </c>
      <c r="I199" s="14">
        <v>82080</v>
      </c>
      <c r="J199" s="14">
        <v>102600</v>
      </c>
      <c r="K199" s="14">
        <v>355680</v>
      </c>
      <c r="L199" s="14" t="str">
        <f ca="1">VLOOKUP(B199, 회원, 4, 0)</f>
        <v>홍아람</v>
      </c>
      <c r="M199" s="14" t="str">
        <f ca="1">VLOOKUP(C199, 패키지, 3, 0)</f>
        <v>전북 맛집 패키지</v>
      </c>
    </row>
    <row r="200" spans="1:13" x14ac:dyDescent="0.3">
      <c r="A200" s="14">
        <v>199</v>
      </c>
      <c r="B200" s="14">
        <v>8</v>
      </c>
      <c r="C200" s="14">
        <v>13</v>
      </c>
      <c r="D200" s="15">
        <v>44659</v>
      </c>
      <c r="E200" s="14">
        <v>1</v>
      </c>
      <c r="F200" s="14">
        <v>3</v>
      </c>
      <c r="G200" s="14">
        <v>1</v>
      </c>
      <c r="H200" s="14">
        <v>37600</v>
      </c>
      <c r="I200" s="14">
        <v>90240</v>
      </c>
      <c r="J200" s="14">
        <v>22560</v>
      </c>
      <c r="K200" s="14">
        <v>150400</v>
      </c>
      <c r="L200" s="14" t="str">
        <f ca="1">VLOOKUP(B200, 회원, 4, 0)</f>
        <v>김연우</v>
      </c>
      <c r="M200" s="14" t="str">
        <f ca="1">VLOOKUP(C200, 패키지, 3, 0)</f>
        <v>경남 즐거운 패키지</v>
      </c>
    </row>
    <row r="201" spans="1:13" x14ac:dyDescent="0.3">
      <c r="A201" s="14">
        <v>200</v>
      </c>
      <c r="B201" s="14">
        <v>2</v>
      </c>
      <c r="C201" s="14">
        <v>52</v>
      </c>
      <c r="D201" s="15">
        <v>44659</v>
      </c>
      <c r="E201" s="14">
        <v>1</v>
      </c>
      <c r="F201" s="14">
        <v>5</v>
      </c>
      <c r="G201" s="14">
        <v>3</v>
      </c>
      <c r="H201" s="14">
        <v>16200</v>
      </c>
      <c r="I201" s="14">
        <v>64800</v>
      </c>
      <c r="J201" s="14">
        <v>29160</v>
      </c>
      <c r="K201" s="14">
        <v>110160</v>
      </c>
      <c r="L201" s="14" t="str">
        <f ca="1">VLOOKUP(B201, 회원, 4, 0)</f>
        <v>강딸기</v>
      </c>
      <c r="M201" s="14" t="str">
        <f ca="1">VLOOKUP(C201, 패키지, 3, 0)</f>
        <v>제주 베스트 패키지</v>
      </c>
    </row>
    <row r="202" spans="1:13" x14ac:dyDescent="0.3">
      <c r="A202" s="14">
        <v>201</v>
      </c>
      <c r="B202" s="14">
        <v>17</v>
      </c>
      <c r="C202" s="14">
        <v>54</v>
      </c>
      <c r="D202" s="15">
        <v>44659</v>
      </c>
      <c r="E202" s="14">
        <v>3</v>
      </c>
      <c r="F202" s="14">
        <v>1</v>
      </c>
      <c r="G202" s="14">
        <v>2</v>
      </c>
      <c r="H202" s="14">
        <v>66420</v>
      </c>
      <c r="I202" s="14">
        <v>17712</v>
      </c>
      <c r="J202" s="14">
        <v>26568</v>
      </c>
      <c r="K202" s="14">
        <v>110700</v>
      </c>
      <c r="L202" s="14" t="str">
        <f ca="1">VLOOKUP(B202, 회원, 4, 0)</f>
        <v>윤산하</v>
      </c>
      <c r="M202" s="14" t="str">
        <f ca="1">VLOOKUP(C202, 패키지, 3, 0)</f>
        <v>충남 베스트 패키지</v>
      </c>
    </row>
    <row r="203" spans="1:13" x14ac:dyDescent="0.3">
      <c r="A203" s="14">
        <v>202</v>
      </c>
      <c r="B203" s="14">
        <v>25</v>
      </c>
      <c r="C203" s="14">
        <v>6</v>
      </c>
      <c r="D203" s="15">
        <v>44660</v>
      </c>
      <c r="E203" s="14">
        <v>5</v>
      </c>
      <c r="F203" s="14">
        <v>4</v>
      </c>
      <c r="G203" s="14">
        <v>0</v>
      </c>
      <c r="H203" s="14">
        <v>134000</v>
      </c>
      <c r="I203" s="14">
        <v>85760</v>
      </c>
      <c r="J203" s="14">
        <v>0</v>
      </c>
      <c r="K203" s="14">
        <v>219760</v>
      </c>
      <c r="L203" s="14" t="str">
        <f ca="1">VLOOKUP(B203, 회원, 4, 0)</f>
        <v>홍길동</v>
      </c>
      <c r="M203" s="14" t="str">
        <f ca="1">VLOOKUP(C203, 패키지, 3, 0)</f>
        <v>경기 반가워 패키지</v>
      </c>
    </row>
    <row r="204" spans="1:13" x14ac:dyDescent="0.3">
      <c r="A204" s="14">
        <v>203</v>
      </c>
      <c r="B204" s="14">
        <v>8</v>
      </c>
      <c r="C204" s="14">
        <v>36</v>
      </c>
      <c r="D204" s="15">
        <v>44661</v>
      </c>
      <c r="E204" s="14">
        <v>0</v>
      </c>
      <c r="F204" s="14">
        <v>5</v>
      </c>
      <c r="G204" s="14">
        <v>1</v>
      </c>
      <c r="H204" s="14">
        <v>0</v>
      </c>
      <c r="I204" s="14">
        <v>81000</v>
      </c>
      <c r="J204" s="14">
        <v>12150</v>
      </c>
      <c r="K204" s="14">
        <v>93150</v>
      </c>
      <c r="L204" s="14" t="str">
        <f ca="1">VLOOKUP(B204, 회원, 4, 0)</f>
        <v>김연우</v>
      </c>
      <c r="M204" s="14" t="str">
        <f ca="1">VLOOKUP(C204, 패키지, 3, 0)</f>
        <v>서울 즐거운 패키지</v>
      </c>
    </row>
    <row r="205" spans="1:13" x14ac:dyDescent="0.3">
      <c r="A205" s="14">
        <v>204</v>
      </c>
      <c r="B205" s="14">
        <v>25</v>
      </c>
      <c r="C205" s="14">
        <v>10</v>
      </c>
      <c r="D205" s="15">
        <v>44661</v>
      </c>
      <c r="E205" s="14">
        <v>1</v>
      </c>
      <c r="F205" s="14">
        <v>4</v>
      </c>
      <c r="G205" s="14">
        <v>5</v>
      </c>
      <c r="H205" s="14">
        <v>22400</v>
      </c>
      <c r="I205" s="14">
        <v>71680</v>
      </c>
      <c r="J205" s="14">
        <v>67200</v>
      </c>
      <c r="K205" s="14">
        <v>161280</v>
      </c>
      <c r="L205" s="14" t="str">
        <f ca="1">VLOOKUP(B205, 회원, 4, 0)</f>
        <v>홍길동</v>
      </c>
      <c r="M205" s="14" t="str">
        <f ca="1">VLOOKUP(C205, 패키지, 3, 0)</f>
        <v>경남 추억 패키지</v>
      </c>
    </row>
    <row r="206" spans="1:13" x14ac:dyDescent="0.3">
      <c r="A206" s="14">
        <v>205</v>
      </c>
      <c r="B206" s="14">
        <v>11</v>
      </c>
      <c r="C206" s="14">
        <v>51</v>
      </c>
      <c r="D206" s="15">
        <v>44663</v>
      </c>
      <c r="E206" s="14">
        <v>0</v>
      </c>
      <c r="F206" s="14">
        <v>3</v>
      </c>
      <c r="G206" s="14">
        <v>3</v>
      </c>
      <c r="H206" s="14">
        <v>0</v>
      </c>
      <c r="I206" s="14">
        <v>23760</v>
      </c>
      <c r="J206" s="14">
        <v>17820</v>
      </c>
      <c r="K206" s="14">
        <v>41580</v>
      </c>
      <c r="L206" s="14" t="str">
        <f ca="1">VLOOKUP(B206, 회원, 4, 0)</f>
        <v>남정휴</v>
      </c>
      <c r="M206" s="14" t="str">
        <f ca="1">VLOOKUP(C206, 패키지, 3, 0)</f>
        <v>제주 반가워 패키지</v>
      </c>
    </row>
    <row r="207" spans="1:13" x14ac:dyDescent="0.3">
      <c r="A207" s="14">
        <v>206</v>
      </c>
      <c r="B207" s="14">
        <v>17</v>
      </c>
      <c r="C207" s="14">
        <v>26</v>
      </c>
      <c r="D207" s="15">
        <v>44663</v>
      </c>
      <c r="E207" s="14">
        <v>4</v>
      </c>
      <c r="F207" s="14">
        <v>3</v>
      </c>
      <c r="G207" s="14">
        <v>3</v>
      </c>
      <c r="H207" s="14">
        <v>91200</v>
      </c>
      <c r="I207" s="14">
        <v>54720</v>
      </c>
      <c r="J207" s="14">
        <v>41040</v>
      </c>
      <c r="K207" s="14">
        <v>186960</v>
      </c>
      <c r="L207" s="14" t="str">
        <f ca="1">VLOOKUP(B207, 회원, 4, 0)</f>
        <v>윤산하</v>
      </c>
      <c r="M207" s="14" t="str">
        <f ca="1">VLOOKUP(C207, 패키지, 3, 0)</f>
        <v>부산 할인 패키지</v>
      </c>
    </row>
    <row r="208" spans="1:13" x14ac:dyDescent="0.3">
      <c r="A208" s="14">
        <v>207</v>
      </c>
      <c r="B208" s="14">
        <v>1</v>
      </c>
      <c r="C208" s="14">
        <v>21</v>
      </c>
      <c r="D208" s="15">
        <v>44664</v>
      </c>
      <c r="E208" s="14">
        <v>0</v>
      </c>
      <c r="F208" s="14">
        <v>0</v>
      </c>
      <c r="G208" s="14">
        <v>2</v>
      </c>
      <c r="H208" s="14">
        <v>0</v>
      </c>
      <c r="I208" s="14">
        <v>0</v>
      </c>
      <c r="J208" s="14">
        <v>24000</v>
      </c>
      <c r="K208" s="14">
        <v>24000</v>
      </c>
      <c r="L208" s="14" t="str">
        <f ca="1">VLOOKUP(B208, 회원, 4, 0)</f>
        <v>감예쁨</v>
      </c>
      <c r="M208" s="14" t="str">
        <f ca="1">VLOOKUP(C208, 패키지, 3, 0)</f>
        <v>대구 룰루랄라 패키지</v>
      </c>
    </row>
    <row r="209" spans="1:13" x14ac:dyDescent="0.3">
      <c r="A209" s="14">
        <v>208</v>
      </c>
      <c r="B209" s="14">
        <v>23</v>
      </c>
      <c r="C209" s="14">
        <v>25</v>
      </c>
      <c r="D209" s="15">
        <v>44664</v>
      </c>
      <c r="E209" s="14">
        <v>0</v>
      </c>
      <c r="F209" s="14">
        <v>0</v>
      </c>
      <c r="G209" s="14">
        <v>2</v>
      </c>
      <c r="H209" s="14">
        <v>0</v>
      </c>
      <c r="I209" s="14">
        <v>0</v>
      </c>
      <c r="J209" s="14">
        <v>32400</v>
      </c>
      <c r="K209" s="14">
        <v>32400</v>
      </c>
      <c r="L209" s="14" t="str">
        <f ca="1">VLOOKUP(B209, 회원, 4, 0)</f>
        <v>조아영</v>
      </c>
      <c r="M209" s="14" t="str">
        <f ca="1">VLOOKUP(C209, 패키지, 3, 0)</f>
        <v>대전 최고 패키지</v>
      </c>
    </row>
    <row r="210" spans="1:13" x14ac:dyDescent="0.3">
      <c r="A210" s="14">
        <v>209</v>
      </c>
      <c r="B210" s="14">
        <v>22</v>
      </c>
      <c r="C210" s="14">
        <v>5</v>
      </c>
      <c r="D210" s="15">
        <v>44665</v>
      </c>
      <c r="E210" s="14">
        <v>0</v>
      </c>
      <c r="F210" s="14">
        <v>3</v>
      </c>
      <c r="G210" s="14">
        <v>3</v>
      </c>
      <c r="H210" s="14">
        <v>0</v>
      </c>
      <c r="I210" s="14">
        <v>56448</v>
      </c>
      <c r="J210" s="14">
        <v>42336</v>
      </c>
      <c r="K210" s="14">
        <v>98784</v>
      </c>
      <c r="L210" s="14" t="str">
        <f ca="1">VLOOKUP(B210, 회원, 4, 0)</f>
        <v>조민성</v>
      </c>
      <c r="M210" s="14" t="str">
        <f ca="1">VLOOKUP(C210, 패키지, 3, 0)</f>
        <v>강원 선샤인 패키지</v>
      </c>
    </row>
    <row r="211" spans="1:13" x14ac:dyDescent="0.3">
      <c r="A211" s="14">
        <v>210</v>
      </c>
      <c r="B211" s="14">
        <v>2</v>
      </c>
      <c r="C211" s="14">
        <v>43</v>
      </c>
      <c r="D211" s="15">
        <v>44665</v>
      </c>
      <c r="E211" s="14">
        <v>2</v>
      </c>
      <c r="F211" s="14">
        <v>4</v>
      </c>
      <c r="G211" s="14">
        <v>5</v>
      </c>
      <c r="H211" s="14">
        <v>43200</v>
      </c>
      <c r="I211" s="14">
        <v>69120</v>
      </c>
      <c r="J211" s="14">
        <v>64800</v>
      </c>
      <c r="K211" s="14">
        <v>177120</v>
      </c>
      <c r="L211" s="14" t="str">
        <f ca="1">VLOOKUP(B211, 회원, 4, 0)</f>
        <v>강딸기</v>
      </c>
      <c r="M211" s="14" t="str">
        <f ca="1">VLOOKUP(C211, 패키지, 3, 0)</f>
        <v>인천 선샤인 패키지</v>
      </c>
    </row>
    <row r="212" spans="1:13" x14ac:dyDescent="0.3">
      <c r="A212" s="14">
        <v>211</v>
      </c>
      <c r="B212" s="14">
        <v>27</v>
      </c>
      <c r="C212" s="14">
        <v>57</v>
      </c>
      <c r="D212" s="15">
        <v>44665</v>
      </c>
      <c r="E212" s="14">
        <v>4</v>
      </c>
      <c r="F212" s="14">
        <v>4</v>
      </c>
      <c r="G212" s="14">
        <v>0</v>
      </c>
      <c r="H212" s="14">
        <v>80320</v>
      </c>
      <c r="I212" s="14">
        <v>64256</v>
      </c>
      <c r="J212" s="14">
        <v>0</v>
      </c>
      <c r="K212" s="14">
        <v>144576</v>
      </c>
      <c r="L212" s="14" t="str">
        <f ca="1">VLOOKUP(B212, 회원, 4, 0)</f>
        <v>홍아람</v>
      </c>
      <c r="M212" s="14" t="str">
        <f ca="1">VLOOKUP(C212, 패키지, 3, 0)</f>
        <v>충북 베스트 패키지</v>
      </c>
    </row>
    <row r="213" spans="1:13" x14ac:dyDescent="0.3">
      <c r="A213" s="14">
        <v>212</v>
      </c>
      <c r="B213" s="14">
        <v>4</v>
      </c>
      <c r="C213" s="14">
        <v>28</v>
      </c>
      <c r="D213" s="15">
        <v>44666</v>
      </c>
      <c r="E213" s="14">
        <v>1</v>
      </c>
      <c r="F213" s="14">
        <v>1</v>
      </c>
      <c r="G213" s="14">
        <v>4</v>
      </c>
      <c r="H213" s="14">
        <v>11700</v>
      </c>
      <c r="I213" s="14">
        <v>9360</v>
      </c>
      <c r="J213" s="14">
        <v>28080</v>
      </c>
      <c r="K213" s="14">
        <v>49140</v>
      </c>
      <c r="L213" s="14" t="str">
        <f ca="1">VLOOKUP(B213, 회원, 4, 0)</f>
        <v>김설아</v>
      </c>
      <c r="M213" s="14" t="str">
        <f ca="1">VLOOKUP(C213, 패키지, 3, 0)</f>
        <v>부산 선샤인 패키지</v>
      </c>
    </row>
    <row r="214" spans="1:13" x14ac:dyDescent="0.3">
      <c r="A214" s="14">
        <v>213</v>
      </c>
      <c r="B214" s="14">
        <v>6</v>
      </c>
      <c r="C214" s="14">
        <v>52</v>
      </c>
      <c r="D214" s="15">
        <v>44668</v>
      </c>
      <c r="E214" s="14">
        <v>3</v>
      </c>
      <c r="F214" s="14">
        <v>3</v>
      </c>
      <c r="G214" s="14">
        <v>3</v>
      </c>
      <c r="H214" s="14">
        <v>48600</v>
      </c>
      <c r="I214" s="14">
        <v>38880</v>
      </c>
      <c r="J214" s="14">
        <v>29160</v>
      </c>
      <c r="K214" s="14">
        <v>116640</v>
      </c>
      <c r="L214" s="14" t="str">
        <f ca="1">VLOOKUP(B214, 회원, 4, 0)</f>
        <v>김성숙</v>
      </c>
      <c r="M214" s="14" t="str">
        <f ca="1">VLOOKUP(C214, 패키지, 3, 0)</f>
        <v>제주 베스트 패키지</v>
      </c>
    </row>
    <row r="215" spans="1:13" x14ac:dyDescent="0.3">
      <c r="A215" s="14">
        <v>214</v>
      </c>
      <c r="B215" s="14">
        <v>16</v>
      </c>
      <c r="C215" s="14">
        <v>6</v>
      </c>
      <c r="D215" s="15">
        <v>44668</v>
      </c>
      <c r="E215" s="14">
        <v>1</v>
      </c>
      <c r="F215" s="14">
        <v>4</v>
      </c>
      <c r="G215" s="14">
        <v>2</v>
      </c>
      <c r="H215" s="14">
        <v>26800</v>
      </c>
      <c r="I215" s="14">
        <v>85760</v>
      </c>
      <c r="J215" s="14">
        <v>32160</v>
      </c>
      <c r="K215" s="14">
        <v>144720</v>
      </c>
      <c r="L215" s="14" t="str">
        <f ca="1">VLOOKUP(B215, 회원, 4, 0)</f>
        <v>유하나</v>
      </c>
      <c r="M215" s="14" t="str">
        <f ca="1">VLOOKUP(C215, 패키지, 3, 0)</f>
        <v>경기 반가워 패키지</v>
      </c>
    </row>
    <row r="216" spans="1:13" x14ac:dyDescent="0.3">
      <c r="A216" s="14">
        <v>215</v>
      </c>
      <c r="B216" s="14">
        <v>6</v>
      </c>
      <c r="C216" s="14">
        <v>22</v>
      </c>
      <c r="D216" s="15">
        <v>44669</v>
      </c>
      <c r="E216" s="14">
        <v>2</v>
      </c>
      <c r="F216" s="14">
        <v>1</v>
      </c>
      <c r="G216" s="14">
        <v>1</v>
      </c>
      <c r="H216" s="14">
        <v>25200</v>
      </c>
      <c r="I216" s="14">
        <v>10080</v>
      </c>
      <c r="J216" s="14">
        <v>7560</v>
      </c>
      <c r="K216" s="14">
        <v>42840</v>
      </c>
      <c r="L216" s="14" t="str">
        <f ca="1">VLOOKUP(B216, 회원, 4, 0)</f>
        <v>김성숙</v>
      </c>
      <c r="M216" s="14" t="str">
        <f ca="1">VLOOKUP(C216, 패키지, 3, 0)</f>
        <v>대구 추억가득 패키지</v>
      </c>
    </row>
    <row r="217" spans="1:13" x14ac:dyDescent="0.3">
      <c r="A217" s="14">
        <v>216</v>
      </c>
      <c r="B217" s="14">
        <v>3</v>
      </c>
      <c r="C217" s="14">
        <v>29</v>
      </c>
      <c r="D217" s="15">
        <v>44670</v>
      </c>
      <c r="E217" s="14">
        <v>1</v>
      </c>
      <c r="F217" s="14">
        <v>4</v>
      </c>
      <c r="G217" s="14">
        <v>5</v>
      </c>
      <c r="H217" s="14">
        <v>11200</v>
      </c>
      <c r="I217" s="14">
        <v>35840</v>
      </c>
      <c r="J217" s="14">
        <v>33600</v>
      </c>
      <c r="K217" s="14">
        <v>80640</v>
      </c>
      <c r="L217" s="14" t="str">
        <f ca="1">VLOOKUP(B217, 회원, 4, 0)</f>
        <v>김경영</v>
      </c>
      <c r="M217" s="14" t="str">
        <f ca="1">VLOOKUP(C217, 패키지, 3, 0)</f>
        <v>부산 해피 패키지</v>
      </c>
    </row>
    <row r="218" spans="1:13" x14ac:dyDescent="0.3">
      <c r="A218" s="14">
        <v>217</v>
      </c>
      <c r="B218" s="14">
        <v>12</v>
      </c>
      <c r="C218" s="14">
        <v>41</v>
      </c>
      <c r="D218" s="15">
        <v>44671</v>
      </c>
      <c r="E218" s="14">
        <v>0</v>
      </c>
      <c r="F218" s="14">
        <v>3</v>
      </c>
      <c r="G218" s="14">
        <v>5</v>
      </c>
      <c r="H218" s="14">
        <v>0</v>
      </c>
      <c r="I218" s="14">
        <v>80640</v>
      </c>
      <c r="J218" s="14">
        <v>100800</v>
      </c>
      <c r="K218" s="14">
        <v>181440</v>
      </c>
      <c r="L218" s="14" t="str">
        <f ca="1">VLOOKUP(B218, 회원, 4, 0)</f>
        <v>박아름</v>
      </c>
      <c r="M218" s="14" t="str">
        <f ca="1">VLOOKUP(C218, 패키지, 3, 0)</f>
        <v>울산 추억 패키지</v>
      </c>
    </row>
    <row r="219" spans="1:13" x14ac:dyDescent="0.3">
      <c r="A219" s="14">
        <v>218</v>
      </c>
      <c r="B219" s="14">
        <v>18</v>
      </c>
      <c r="C219" s="14">
        <v>2</v>
      </c>
      <c r="D219" s="15">
        <v>44672</v>
      </c>
      <c r="E219" s="14">
        <v>0</v>
      </c>
      <c r="F219" s="14">
        <v>4</v>
      </c>
      <c r="G219" s="14">
        <v>4</v>
      </c>
      <c r="H219" s="14">
        <v>0</v>
      </c>
      <c r="I219" s="14">
        <v>85568</v>
      </c>
      <c r="J219" s="14">
        <v>64176</v>
      </c>
      <c r="K219" s="14">
        <v>149744</v>
      </c>
      <c r="L219" s="14" t="str">
        <f ca="1">VLOOKUP(B219, 회원, 4, 0)</f>
        <v>이상구</v>
      </c>
      <c r="M219" s="14" t="str">
        <f ca="1">VLOOKUP(C219, 패키지, 3, 0)</f>
        <v>강원 베스트 패키지</v>
      </c>
    </row>
    <row r="220" spans="1:13" x14ac:dyDescent="0.3">
      <c r="A220" s="14">
        <v>219</v>
      </c>
      <c r="B220" s="14">
        <v>7</v>
      </c>
      <c r="C220" s="14">
        <v>55</v>
      </c>
      <c r="D220" s="15">
        <v>44672</v>
      </c>
      <c r="E220" s="14">
        <v>2</v>
      </c>
      <c r="F220" s="14">
        <v>4</v>
      </c>
      <c r="G220" s="14">
        <v>4</v>
      </c>
      <c r="H220" s="14">
        <v>29520</v>
      </c>
      <c r="I220" s="14">
        <v>47232</v>
      </c>
      <c r="J220" s="14">
        <v>35424</v>
      </c>
      <c r="K220" s="14">
        <v>112176</v>
      </c>
      <c r="L220" s="14" t="str">
        <f ca="1">VLOOKUP(B220, 회원, 4, 0)</f>
        <v>김숙희</v>
      </c>
      <c r="M220" s="14" t="str">
        <f ca="1">VLOOKUP(C220, 패키지, 3, 0)</f>
        <v>충남 룰루랄라 패키지</v>
      </c>
    </row>
    <row r="221" spans="1:13" x14ac:dyDescent="0.3">
      <c r="A221" s="14">
        <v>220</v>
      </c>
      <c r="B221" s="14">
        <v>7</v>
      </c>
      <c r="C221" s="14">
        <v>16</v>
      </c>
      <c r="D221" s="15">
        <v>44672</v>
      </c>
      <c r="E221" s="14">
        <v>0</v>
      </c>
      <c r="F221" s="14">
        <v>0</v>
      </c>
      <c r="G221" s="14">
        <v>2</v>
      </c>
      <c r="H221" s="14">
        <v>0</v>
      </c>
      <c r="I221" s="14">
        <v>0</v>
      </c>
      <c r="J221" s="14">
        <v>37440</v>
      </c>
      <c r="K221" s="14">
        <v>37440</v>
      </c>
      <c r="L221" s="14" t="str">
        <f ca="1">VLOOKUP(B221, 회원, 4, 0)</f>
        <v>김숙희</v>
      </c>
      <c r="M221" s="14" t="str">
        <f ca="1">VLOOKUP(C221, 패키지, 3, 0)</f>
        <v>경북 즐거운 패키지</v>
      </c>
    </row>
    <row r="222" spans="1:13" x14ac:dyDescent="0.3">
      <c r="A222" s="14">
        <v>221</v>
      </c>
      <c r="B222" s="14">
        <v>8</v>
      </c>
      <c r="C222" s="14">
        <v>28</v>
      </c>
      <c r="D222" s="15">
        <v>44673</v>
      </c>
      <c r="E222" s="14">
        <v>2</v>
      </c>
      <c r="F222" s="14">
        <v>3</v>
      </c>
      <c r="G222" s="14">
        <v>0</v>
      </c>
      <c r="H222" s="14">
        <v>23400</v>
      </c>
      <c r="I222" s="14">
        <v>28080</v>
      </c>
      <c r="J222" s="14">
        <v>0</v>
      </c>
      <c r="K222" s="14">
        <v>51480</v>
      </c>
      <c r="L222" s="14" t="str">
        <f ca="1">VLOOKUP(B222, 회원, 4, 0)</f>
        <v>김연우</v>
      </c>
      <c r="M222" s="14" t="str">
        <f ca="1">VLOOKUP(C222, 패키지, 3, 0)</f>
        <v>부산 선샤인 패키지</v>
      </c>
    </row>
    <row r="223" spans="1:13" x14ac:dyDescent="0.3">
      <c r="A223" s="14">
        <v>222</v>
      </c>
      <c r="B223" s="14">
        <v>16</v>
      </c>
      <c r="C223" s="14">
        <v>11</v>
      </c>
      <c r="D223" s="15">
        <v>44673</v>
      </c>
      <c r="E223" s="14">
        <v>2</v>
      </c>
      <c r="F223" s="14">
        <v>2</v>
      </c>
      <c r="G223" s="14">
        <v>1</v>
      </c>
      <c r="H223" s="14">
        <v>43200</v>
      </c>
      <c r="I223" s="14">
        <v>34560</v>
      </c>
      <c r="J223" s="14">
        <v>12960</v>
      </c>
      <c r="K223" s="14">
        <v>90720</v>
      </c>
      <c r="L223" s="14" t="str">
        <f ca="1">VLOOKUP(B223, 회원, 4, 0)</f>
        <v>유하나</v>
      </c>
      <c r="M223" s="14" t="str">
        <f ca="1">VLOOKUP(C223, 패키지, 3, 0)</f>
        <v>경남 할인 패키지</v>
      </c>
    </row>
    <row r="224" spans="1:13" x14ac:dyDescent="0.3">
      <c r="A224" s="14">
        <v>223</v>
      </c>
      <c r="B224" s="14">
        <v>26</v>
      </c>
      <c r="C224" s="14">
        <v>31</v>
      </c>
      <c r="D224" s="15">
        <v>44673</v>
      </c>
      <c r="E224" s="14">
        <v>1</v>
      </c>
      <c r="F224" s="14">
        <v>1</v>
      </c>
      <c r="G224" s="14">
        <v>0</v>
      </c>
      <c r="H224" s="14">
        <v>12600</v>
      </c>
      <c r="I224" s="14">
        <v>10080</v>
      </c>
      <c r="J224" s="14">
        <v>0</v>
      </c>
      <c r="K224" s="14">
        <v>22680</v>
      </c>
      <c r="L224" s="14" t="str">
        <f ca="1">VLOOKUP(B224, 회원, 4, 0)</f>
        <v>홍성장</v>
      </c>
      <c r="M224" s="14" t="str">
        <f ca="1">VLOOKUP(C224, 패키지, 3, 0)</f>
        <v>부산 최고 패키지</v>
      </c>
    </row>
    <row r="225" spans="1:13" x14ac:dyDescent="0.3">
      <c r="A225" s="14">
        <v>224</v>
      </c>
      <c r="B225" s="14">
        <v>24</v>
      </c>
      <c r="C225" s="14">
        <v>50</v>
      </c>
      <c r="D225" s="15">
        <v>44674</v>
      </c>
      <c r="E225" s="14">
        <v>4</v>
      </c>
      <c r="F225" s="14">
        <v>3</v>
      </c>
      <c r="G225" s="14">
        <v>3</v>
      </c>
      <c r="H225" s="14">
        <v>136800</v>
      </c>
      <c r="I225" s="14">
        <v>82080</v>
      </c>
      <c r="J225" s="14">
        <v>61560</v>
      </c>
      <c r="K225" s="14">
        <v>280440</v>
      </c>
      <c r="L225" s="14" t="str">
        <f ca="1">VLOOKUP(B225, 회원, 4, 0)</f>
        <v>하주연</v>
      </c>
      <c r="M225" s="14" t="str">
        <f ca="1">VLOOKUP(C225, 패키지, 3, 0)</f>
        <v>전북 맛집 패키지</v>
      </c>
    </row>
    <row r="226" spans="1:13" x14ac:dyDescent="0.3">
      <c r="A226" s="14">
        <v>225</v>
      </c>
      <c r="B226" s="14">
        <v>27</v>
      </c>
      <c r="C226" s="14">
        <v>2</v>
      </c>
      <c r="D226" s="15">
        <v>44674</v>
      </c>
      <c r="E226" s="14">
        <v>1</v>
      </c>
      <c r="F226" s="14">
        <v>3</v>
      </c>
      <c r="G226" s="14">
        <v>2</v>
      </c>
      <c r="H226" s="14">
        <v>26740</v>
      </c>
      <c r="I226" s="14">
        <v>64176</v>
      </c>
      <c r="J226" s="14">
        <v>32088</v>
      </c>
      <c r="K226" s="14">
        <v>123004</v>
      </c>
      <c r="L226" s="14" t="str">
        <f ca="1">VLOOKUP(B226, 회원, 4, 0)</f>
        <v>홍아람</v>
      </c>
      <c r="M226" s="14" t="str">
        <f ca="1">VLOOKUP(C226, 패키지, 3, 0)</f>
        <v>강원 베스트 패키지</v>
      </c>
    </row>
    <row r="227" spans="1:13" x14ac:dyDescent="0.3">
      <c r="A227" s="14">
        <v>226</v>
      </c>
      <c r="B227" s="14">
        <v>4</v>
      </c>
      <c r="C227" s="14">
        <v>24</v>
      </c>
      <c r="D227" s="15">
        <v>44674</v>
      </c>
      <c r="E227" s="14">
        <v>5</v>
      </c>
      <c r="F227" s="14">
        <v>1</v>
      </c>
      <c r="G227" s="14">
        <v>0</v>
      </c>
      <c r="H227" s="14">
        <v>112500</v>
      </c>
      <c r="I227" s="14">
        <v>18000</v>
      </c>
      <c r="J227" s="14">
        <v>0</v>
      </c>
      <c r="K227" s="14">
        <v>130500</v>
      </c>
      <c r="L227" s="14" t="str">
        <f ca="1">VLOOKUP(B227, 회원, 4, 0)</f>
        <v>김설아</v>
      </c>
      <c r="M227" s="14" t="str">
        <f ca="1">VLOOKUP(C227, 패키지, 3, 0)</f>
        <v>대전 행복한 패키지</v>
      </c>
    </row>
    <row r="228" spans="1:13" x14ac:dyDescent="0.3">
      <c r="A228" s="14">
        <v>227</v>
      </c>
      <c r="B228" s="14">
        <v>17</v>
      </c>
      <c r="C228" s="14">
        <v>33</v>
      </c>
      <c r="D228" s="15">
        <v>44674</v>
      </c>
      <c r="E228" s="14">
        <v>0</v>
      </c>
      <c r="F228" s="14">
        <v>2</v>
      </c>
      <c r="G228" s="14">
        <v>0</v>
      </c>
      <c r="H228" s="14">
        <v>0</v>
      </c>
      <c r="I228" s="14">
        <v>21760</v>
      </c>
      <c r="J228" s="14">
        <v>0</v>
      </c>
      <c r="K228" s="14">
        <v>21760</v>
      </c>
      <c r="L228" s="14" t="str">
        <f ca="1">VLOOKUP(B228, 회원, 4, 0)</f>
        <v>윤산하</v>
      </c>
      <c r="M228" s="14" t="str">
        <f ca="1">VLOOKUP(C228, 패키지, 3, 0)</f>
        <v>서울 룰루랄라 패키지</v>
      </c>
    </row>
    <row r="229" spans="1:13" x14ac:dyDescent="0.3">
      <c r="A229" s="14">
        <v>228</v>
      </c>
      <c r="B229" s="14">
        <v>20</v>
      </c>
      <c r="C229" s="14">
        <v>16</v>
      </c>
      <c r="D229" s="15">
        <v>44675</v>
      </c>
      <c r="E229" s="14">
        <v>5</v>
      </c>
      <c r="F229" s="14">
        <v>2</v>
      </c>
      <c r="G229" s="14">
        <v>1</v>
      </c>
      <c r="H229" s="14">
        <v>156000</v>
      </c>
      <c r="I229" s="14">
        <v>49920</v>
      </c>
      <c r="J229" s="14">
        <v>18720</v>
      </c>
      <c r="K229" s="14">
        <v>224640</v>
      </c>
      <c r="L229" s="14" t="str">
        <f ca="1">VLOOKUP(B229, 회원, 4, 0)</f>
        <v>이영주</v>
      </c>
      <c r="M229" s="14" t="str">
        <f ca="1">VLOOKUP(C229, 패키지, 3, 0)</f>
        <v>경북 즐거운 패키지</v>
      </c>
    </row>
    <row r="230" spans="1:13" x14ac:dyDescent="0.3">
      <c r="A230" s="14">
        <v>229</v>
      </c>
      <c r="B230" s="14">
        <v>5</v>
      </c>
      <c r="C230" s="14">
        <v>15</v>
      </c>
      <c r="D230" s="15">
        <v>44675</v>
      </c>
      <c r="E230" s="14">
        <v>4</v>
      </c>
      <c r="F230" s="14">
        <v>3</v>
      </c>
      <c r="G230" s="14">
        <v>1</v>
      </c>
      <c r="H230" s="14">
        <v>75600</v>
      </c>
      <c r="I230" s="14">
        <v>45360</v>
      </c>
      <c r="J230" s="14">
        <v>11340</v>
      </c>
      <c r="K230" s="14">
        <v>132300</v>
      </c>
      <c r="L230" s="14" t="str">
        <f ca="1">VLOOKUP(B230, 회원, 4, 0)</f>
        <v>김성대</v>
      </c>
      <c r="M230" s="14" t="str">
        <f ca="1">VLOOKUP(C230, 패키지, 3, 0)</f>
        <v>경북 맛집 패키지</v>
      </c>
    </row>
    <row r="231" spans="1:13" x14ac:dyDescent="0.3">
      <c r="A231" s="14">
        <v>230</v>
      </c>
      <c r="B231" s="14">
        <v>16</v>
      </c>
      <c r="C231" s="14">
        <v>52</v>
      </c>
      <c r="D231" s="15">
        <v>44677</v>
      </c>
      <c r="E231" s="14">
        <v>1</v>
      </c>
      <c r="F231" s="14">
        <v>0</v>
      </c>
      <c r="G231" s="14">
        <v>0</v>
      </c>
      <c r="H231" s="14">
        <v>16200</v>
      </c>
      <c r="I231" s="14">
        <v>0</v>
      </c>
      <c r="J231" s="14">
        <v>0</v>
      </c>
      <c r="K231" s="14">
        <v>16200</v>
      </c>
      <c r="L231" s="14" t="str">
        <f ca="1">VLOOKUP(B231, 회원, 4, 0)</f>
        <v>유하나</v>
      </c>
      <c r="M231" s="14" t="str">
        <f ca="1">VLOOKUP(C231, 패키지, 3, 0)</f>
        <v>제주 베스트 패키지</v>
      </c>
    </row>
    <row r="232" spans="1:13" x14ac:dyDescent="0.3">
      <c r="A232" s="14">
        <v>231</v>
      </c>
      <c r="B232" s="14">
        <v>25</v>
      </c>
      <c r="C232" s="14">
        <v>31</v>
      </c>
      <c r="D232" s="15">
        <v>44677</v>
      </c>
      <c r="E232" s="14">
        <v>1</v>
      </c>
      <c r="F232" s="14">
        <v>0</v>
      </c>
      <c r="G232" s="14">
        <v>0</v>
      </c>
      <c r="H232" s="14">
        <v>12600</v>
      </c>
      <c r="I232" s="14">
        <v>0</v>
      </c>
      <c r="J232" s="14">
        <v>0</v>
      </c>
      <c r="K232" s="14">
        <v>12600</v>
      </c>
      <c r="L232" s="14" t="str">
        <f ca="1">VLOOKUP(B232, 회원, 4, 0)</f>
        <v>홍길동</v>
      </c>
      <c r="M232" s="14" t="str">
        <f ca="1">VLOOKUP(C232, 패키지, 3, 0)</f>
        <v>부산 최고 패키지</v>
      </c>
    </row>
    <row r="233" spans="1:13" x14ac:dyDescent="0.3">
      <c r="A233" s="14">
        <v>232</v>
      </c>
      <c r="B233" s="14">
        <v>16</v>
      </c>
      <c r="C233" s="14">
        <v>14</v>
      </c>
      <c r="D233" s="15">
        <v>44677</v>
      </c>
      <c r="E233" s="14">
        <v>4</v>
      </c>
      <c r="F233" s="14">
        <v>0</v>
      </c>
      <c r="G233" s="14">
        <v>3</v>
      </c>
      <c r="H233" s="14">
        <v>112000</v>
      </c>
      <c r="I233" s="14">
        <v>0</v>
      </c>
      <c r="J233" s="14">
        <v>50400</v>
      </c>
      <c r="K233" s="14">
        <v>162400</v>
      </c>
      <c r="L233" s="14" t="str">
        <f ca="1">VLOOKUP(B233, 회원, 4, 0)</f>
        <v>유하나</v>
      </c>
      <c r="M233" s="14" t="str">
        <f ca="1">VLOOKUP(C233, 패키지, 3, 0)</f>
        <v>경북 최고 패키지</v>
      </c>
    </row>
    <row r="234" spans="1:13" x14ac:dyDescent="0.3">
      <c r="A234" s="14">
        <v>233</v>
      </c>
      <c r="B234" s="14">
        <v>9</v>
      </c>
      <c r="C234" s="14">
        <v>25</v>
      </c>
      <c r="D234" s="15">
        <v>44678</v>
      </c>
      <c r="E234" s="14">
        <v>1</v>
      </c>
      <c r="F234" s="14">
        <v>2</v>
      </c>
      <c r="G234" s="14">
        <v>3</v>
      </c>
      <c r="H234" s="14">
        <v>27000</v>
      </c>
      <c r="I234" s="14">
        <v>43200</v>
      </c>
      <c r="J234" s="14">
        <v>48600</v>
      </c>
      <c r="K234" s="14">
        <v>118800</v>
      </c>
      <c r="L234" s="14" t="str">
        <f ca="1">VLOOKUP(B234, 회원, 4, 0)</f>
        <v>김철수</v>
      </c>
      <c r="M234" s="14" t="str">
        <f ca="1">VLOOKUP(C234, 패키지, 3, 0)</f>
        <v>대전 최고 패키지</v>
      </c>
    </row>
    <row r="235" spans="1:13" x14ac:dyDescent="0.3">
      <c r="A235" s="14">
        <v>234</v>
      </c>
      <c r="B235" s="14">
        <v>22</v>
      </c>
      <c r="C235" s="14">
        <v>26</v>
      </c>
      <c r="D235" s="15">
        <v>44678</v>
      </c>
      <c r="E235" s="14">
        <v>0</v>
      </c>
      <c r="F235" s="14">
        <v>2</v>
      </c>
      <c r="G235" s="14">
        <v>5</v>
      </c>
      <c r="H235" s="14">
        <v>0</v>
      </c>
      <c r="I235" s="14">
        <v>36480</v>
      </c>
      <c r="J235" s="14">
        <v>68400</v>
      </c>
      <c r="K235" s="14">
        <v>104880</v>
      </c>
      <c r="L235" s="14" t="str">
        <f ca="1">VLOOKUP(B235, 회원, 4, 0)</f>
        <v>조민성</v>
      </c>
      <c r="M235" s="14" t="str">
        <f ca="1">VLOOKUP(C235, 패키지, 3, 0)</f>
        <v>부산 할인 패키지</v>
      </c>
    </row>
    <row r="236" spans="1:13" x14ac:dyDescent="0.3">
      <c r="A236" s="14">
        <v>235</v>
      </c>
      <c r="B236" s="14">
        <v>10</v>
      </c>
      <c r="C236" s="14">
        <v>27</v>
      </c>
      <c r="D236" s="15">
        <v>44678</v>
      </c>
      <c r="E236" s="14">
        <v>0</v>
      </c>
      <c r="F236" s="14">
        <v>5</v>
      </c>
      <c r="G236" s="14">
        <v>0</v>
      </c>
      <c r="H236" s="14">
        <v>0</v>
      </c>
      <c r="I236" s="14">
        <v>62400</v>
      </c>
      <c r="J236" s="14">
        <v>0</v>
      </c>
      <c r="K236" s="14">
        <v>62400</v>
      </c>
      <c r="L236" s="14" t="str">
        <f ca="1">VLOOKUP(B236, 회원, 4, 0)</f>
        <v>나종대</v>
      </c>
      <c r="M236" s="14" t="str">
        <f ca="1">VLOOKUP(C236, 패키지, 3, 0)</f>
        <v>부산 베스트 패키지</v>
      </c>
    </row>
    <row r="237" spans="1:13" x14ac:dyDescent="0.3">
      <c r="A237" s="14">
        <v>236</v>
      </c>
      <c r="B237" s="14">
        <v>24</v>
      </c>
      <c r="C237" s="14">
        <v>45</v>
      </c>
      <c r="D237" s="15">
        <v>44679</v>
      </c>
      <c r="E237" s="14">
        <v>1</v>
      </c>
      <c r="F237" s="14">
        <v>1</v>
      </c>
      <c r="G237" s="14">
        <v>2</v>
      </c>
      <c r="H237" s="14">
        <v>19800</v>
      </c>
      <c r="I237" s="14">
        <v>15840</v>
      </c>
      <c r="J237" s="14">
        <v>23760</v>
      </c>
      <c r="K237" s="14">
        <v>59400</v>
      </c>
      <c r="L237" s="14" t="str">
        <f ca="1">VLOOKUP(B237, 회원, 4, 0)</f>
        <v>하주연</v>
      </c>
      <c r="M237" s="14" t="str">
        <f ca="1">VLOOKUP(C237, 패키지, 3, 0)</f>
        <v>전남 선샤인 패키지</v>
      </c>
    </row>
    <row r="238" spans="1:13" x14ac:dyDescent="0.3">
      <c r="A238" s="14">
        <v>237</v>
      </c>
      <c r="B238" s="14">
        <v>1</v>
      </c>
      <c r="C238" s="14">
        <v>15</v>
      </c>
      <c r="D238" s="15">
        <v>44679</v>
      </c>
      <c r="E238" s="14">
        <v>3</v>
      </c>
      <c r="F238" s="14">
        <v>3</v>
      </c>
      <c r="G238" s="14">
        <v>3</v>
      </c>
      <c r="H238" s="14">
        <v>56700</v>
      </c>
      <c r="I238" s="14">
        <v>45360</v>
      </c>
      <c r="J238" s="14">
        <v>34020</v>
      </c>
      <c r="K238" s="14">
        <v>136080</v>
      </c>
      <c r="L238" s="14" t="str">
        <f ca="1">VLOOKUP(B238, 회원, 4, 0)</f>
        <v>감예쁨</v>
      </c>
      <c r="M238" s="14" t="str">
        <f ca="1">VLOOKUP(C238, 패키지, 3, 0)</f>
        <v>경북 맛집 패키지</v>
      </c>
    </row>
    <row r="239" spans="1:13" x14ac:dyDescent="0.3">
      <c r="A239" s="14">
        <v>238</v>
      </c>
      <c r="B239" s="14">
        <v>2</v>
      </c>
      <c r="C239" s="14">
        <v>1</v>
      </c>
      <c r="D239" s="15">
        <v>44681</v>
      </c>
      <c r="E239" s="14">
        <v>0</v>
      </c>
      <c r="F239" s="14">
        <v>2</v>
      </c>
      <c r="G239" s="14">
        <v>4</v>
      </c>
      <c r="H239" s="14">
        <v>0</v>
      </c>
      <c r="I239" s="14">
        <v>29952</v>
      </c>
      <c r="J239" s="14">
        <v>44928</v>
      </c>
      <c r="K239" s="14">
        <v>74880</v>
      </c>
      <c r="L239" s="14" t="str">
        <f ca="1">VLOOKUP(B239, 회원, 4, 0)</f>
        <v>강딸기</v>
      </c>
      <c r="M239" s="14" t="str">
        <f ca="1">VLOOKUP(C239, 패키지, 3, 0)</f>
        <v>강원 최고 패키지</v>
      </c>
    </row>
    <row r="240" spans="1:13" x14ac:dyDescent="0.3">
      <c r="A240" s="14">
        <v>239</v>
      </c>
      <c r="B240" s="14">
        <v>22</v>
      </c>
      <c r="C240" s="14">
        <v>30</v>
      </c>
      <c r="D240" s="15">
        <v>44682</v>
      </c>
      <c r="E240" s="14">
        <v>5</v>
      </c>
      <c r="F240" s="14">
        <v>4</v>
      </c>
      <c r="G240" s="14">
        <v>2</v>
      </c>
      <c r="H240" s="14">
        <v>84000</v>
      </c>
      <c r="I240" s="14">
        <v>53760</v>
      </c>
      <c r="J240" s="14">
        <v>20160</v>
      </c>
      <c r="K240" s="14">
        <v>157920</v>
      </c>
      <c r="L240" s="14" t="str">
        <f ca="1">VLOOKUP(B240, 회원, 4, 0)</f>
        <v>조민성</v>
      </c>
      <c r="M240" s="14" t="str">
        <f ca="1">VLOOKUP(C240, 패키지, 3, 0)</f>
        <v>부산 룰루랄라 패키지</v>
      </c>
    </row>
    <row r="241" spans="1:13" x14ac:dyDescent="0.3">
      <c r="A241" s="14">
        <v>240</v>
      </c>
      <c r="B241" s="14">
        <v>12</v>
      </c>
      <c r="C241" s="14">
        <v>42</v>
      </c>
      <c r="D241" s="15">
        <v>44683</v>
      </c>
      <c r="E241" s="14">
        <v>0</v>
      </c>
      <c r="F241" s="14">
        <v>0</v>
      </c>
      <c r="G241" s="14">
        <v>1</v>
      </c>
      <c r="H241" s="14">
        <v>0</v>
      </c>
      <c r="I241" s="14">
        <v>0</v>
      </c>
      <c r="J241" s="14">
        <v>4320</v>
      </c>
      <c r="K241" s="14">
        <v>4320</v>
      </c>
      <c r="L241" s="14" t="str">
        <f ca="1">VLOOKUP(B241, 회원, 4, 0)</f>
        <v>박아름</v>
      </c>
      <c r="M241" s="14" t="str">
        <f ca="1">VLOOKUP(C241, 패키지, 3, 0)</f>
        <v>인천 행복한 패키지</v>
      </c>
    </row>
    <row r="242" spans="1:13" x14ac:dyDescent="0.3">
      <c r="A242" s="14">
        <v>241</v>
      </c>
      <c r="B242" s="14">
        <v>26</v>
      </c>
      <c r="C242" s="14">
        <v>2</v>
      </c>
      <c r="D242" s="15">
        <v>44683</v>
      </c>
      <c r="E242" s="14">
        <v>5</v>
      </c>
      <c r="F242" s="14">
        <v>4</v>
      </c>
      <c r="G242" s="14">
        <v>3</v>
      </c>
      <c r="H242" s="14">
        <v>133700</v>
      </c>
      <c r="I242" s="14">
        <v>85568</v>
      </c>
      <c r="J242" s="14">
        <v>48132</v>
      </c>
      <c r="K242" s="14">
        <v>267400</v>
      </c>
      <c r="L242" s="14" t="str">
        <f ca="1">VLOOKUP(B242, 회원, 4, 0)</f>
        <v>홍성장</v>
      </c>
      <c r="M242" s="14" t="str">
        <f ca="1">VLOOKUP(C242, 패키지, 3, 0)</f>
        <v>강원 베스트 패키지</v>
      </c>
    </row>
    <row r="243" spans="1:13" x14ac:dyDescent="0.3">
      <c r="A243" s="14">
        <v>242</v>
      </c>
      <c r="B243" s="14">
        <v>25</v>
      </c>
      <c r="C243" s="14">
        <v>55</v>
      </c>
      <c r="D243" s="15">
        <v>44684</v>
      </c>
      <c r="E243" s="14">
        <v>2</v>
      </c>
      <c r="F243" s="14">
        <v>2</v>
      </c>
      <c r="G243" s="14">
        <v>4</v>
      </c>
      <c r="H243" s="14">
        <v>29520</v>
      </c>
      <c r="I243" s="14">
        <v>23616</v>
      </c>
      <c r="J243" s="14">
        <v>35424</v>
      </c>
      <c r="K243" s="14">
        <v>88560</v>
      </c>
      <c r="L243" s="14" t="str">
        <f ca="1">VLOOKUP(B243, 회원, 4, 0)</f>
        <v>홍길동</v>
      </c>
      <c r="M243" s="14" t="str">
        <f ca="1">VLOOKUP(C243, 패키지, 3, 0)</f>
        <v>충남 룰루랄라 패키지</v>
      </c>
    </row>
    <row r="244" spans="1:13" x14ac:dyDescent="0.3">
      <c r="A244" s="14">
        <v>243</v>
      </c>
      <c r="B244" s="14">
        <v>8</v>
      </c>
      <c r="C244" s="14">
        <v>49</v>
      </c>
      <c r="D244" s="15">
        <v>44684</v>
      </c>
      <c r="E244" s="14">
        <v>4</v>
      </c>
      <c r="F244" s="14">
        <v>5</v>
      </c>
      <c r="G244" s="14">
        <v>0</v>
      </c>
      <c r="H244" s="14">
        <v>124800</v>
      </c>
      <c r="I244" s="14">
        <v>124800</v>
      </c>
      <c r="J244" s="14">
        <v>0</v>
      </c>
      <c r="K244" s="14">
        <v>249600</v>
      </c>
      <c r="L244" s="14" t="str">
        <f ca="1">VLOOKUP(B244, 회원, 4, 0)</f>
        <v>김연우</v>
      </c>
      <c r="M244" s="14" t="str">
        <f ca="1">VLOOKUP(C244, 패키지, 3, 0)</f>
        <v>전북 최고 패키지</v>
      </c>
    </row>
    <row r="245" spans="1:13" x14ac:dyDescent="0.3">
      <c r="A245" s="14">
        <v>244</v>
      </c>
      <c r="B245" s="14">
        <v>16</v>
      </c>
      <c r="C245" s="14">
        <v>34</v>
      </c>
      <c r="D245" s="15">
        <v>44684</v>
      </c>
      <c r="E245" s="14">
        <v>3</v>
      </c>
      <c r="F245" s="14">
        <v>2</v>
      </c>
      <c r="G245" s="14">
        <v>3</v>
      </c>
      <c r="H245" s="14">
        <v>80400</v>
      </c>
      <c r="I245" s="14">
        <v>42880</v>
      </c>
      <c r="J245" s="14">
        <v>48240</v>
      </c>
      <c r="K245" s="14">
        <v>171520</v>
      </c>
      <c r="L245" s="14" t="str">
        <f ca="1">VLOOKUP(B245, 회원, 4, 0)</f>
        <v>유하나</v>
      </c>
      <c r="M245" s="14" t="str">
        <f ca="1">VLOOKUP(C245, 패키지, 3, 0)</f>
        <v>서울 베스트 패키지</v>
      </c>
    </row>
    <row r="246" spans="1:13" x14ac:dyDescent="0.3">
      <c r="A246" s="14">
        <v>245</v>
      </c>
      <c r="B246" s="14">
        <v>6</v>
      </c>
      <c r="C246" s="14">
        <v>14</v>
      </c>
      <c r="D246" s="15">
        <v>44684</v>
      </c>
      <c r="E246" s="14">
        <v>2</v>
      </c>
      <c r="F246" s="14">
        <v>1</v>
      </c>
      <c r="G246" s="14">
        <v>1</v>
      </c>
      <c r="H246" s="14">
        <v>56000</v>
      </c>
      <c r="I246" s="14">
        <v>22400</v>
      </c>
      <c r="J246" s="14">
        <v>16800</v>
      </c>
      <c r="K246" s="14">
        <v>95200</v>
      </c>
      <c r="L246" s="14" t="str">
        <f ca="1">VLOOKUP(B246, 회원, 4, 0)</f>
        <v>김성숙</v>
      </c>
      <c r="M246" s="14" t="str">
        <f ca="1">VLOOKUP(C246, 패키지, 3, 0)</f>
        <v>경북 최고 패키지</v>
      </c>
    </row>
    <row r="247" spans="1:13" x14ac:dyDescent="0.3">
      <c r="A247" s="14">
        <v>246</v>
      </c>
      <c r="B247" s="14">
        <v>8</v>
      </c>
      <c r="C247" s="14">
        <v>46</v>
      </c>
      <c r="D247" s="15">
        <v>44685</v>
      </c>
      <c r="E247" s="14">
        <v>3</v>
      </c>
      <c r="F247" s="14">
        <v>1</v>
      </c>
      <c r="G247" s="14">
        <v>4</v>
      </c>
      <c r="H247" s="14">
        <v>68400</v>
      </c>
      <c r="I247" s="14">
        <v>18240</v>
      </c>
      <c r="J247" s="14">
        <v>54720</v>
      </c>
      <c r="K247" s="14">
        <v>141360</v>
      </c>
      <c r="L247" s="14" t="str">
        <f ca="1">VLOOKUP(B247, 회원, 4, 0)</f>
        <v>김연우</v>
      </c>
      <c r="M247" s="14" t="str">
        <f ca="1">VLOOKUP(C247, 패키지, 3, 0)</f>
        <v>전남 해피 패키지</v>
      </c>
    </row>
    <row r="248" spans="1:13" x14ac:dyDescent="0.3">
      <c r="A248" s="14">
        <v>247</v>
      </c>
      <c r="B248" s="14">
        <v>14</v>
      </c>
      <c r="C248" s="14">
        <v>15</v>
      </c>
      <c r="D248" s="15">
        <v>44685</v>
      </c>
      <c r="E248" s="14">
        <v>0</v>
      </c>
      <c r="F248" s="14">
        <v>2</v>
      </c>
      <c r="G248" s="14">
        <v>3</v>
      </c>
      <c r="H248" s="14">
        <v>0</v>
      </c>
      <c r="I248" s="14">
        <v>30240</v>
      </c>
      <c r="J248" s="14">
        <v>34020</v>
      </c>
      <c r="K248" s="14">
        <v>64260</v>
      </c>
      <c r="L248" s="14" t="str">
        <f ca="1">VLOOKUP(B248, 회원, 4, 0)</f>
        <v>배보라</v>
      </c>
      <c r="M248" s="14" t="str">
        <f ca="1">VLOOKUP(C248, 패키지, 3, 0)</f>
        <v>경북 맛집 패키지</v>
      </c>
    </row>
    <row r="249" spans="1:13" x14ac:dyDescent="0.3">
      <c r="A249" s="14">
        <v>248</v>
      </c>
      <c r="B249" s="14">
        <v>13</v>
      </c>
      <c r="C249" s="14">
        <v>1</v>
      </c>
      <c r="D249" s="15">
        <v>44685</v>
      </c>
      <c r="E249" s="14">
        <v>0</v>
      </c>
      <c r="F249" s="14">
        <v>2</v>
      </c>
      <c r="G249" s="14">
        <v>1</v>
      </c>
      <c r="H249" s="14">
        <v>0</v>
      </c>
      <c r="I249" s="14">
        <v>29952</v>
      </c>
      <c r="J249" s="14">
        <v>11232</v>
      </c>
      <c r="K249" s="14">
        <v>41184</v>
      </c>
      <c r="L249" s="14" t="str">
        <f ca="1">VLOOKUP(B249, 회원, 4, 0)</f>
        <v>박지성</v>
      </c>
      <c r="M249" s="14" t="str">
        <f ca="1">VLOOKUP(C249, 패키지, 3, 0)</f>
        <v>강원 최고 패키지</v>
      </c>
    </row>
    <row r="250" spans="1:13" x14ac:dyDescent="0.3">
      <c r="A250" s="14">
        <v>249</v>
      </c>
      <c r="B250" s="14">
        <v>4</v>
      </c>
      <c r="C250" s="14">
        <v>21</v>
      </c>
      <c r="D250" s="15">
        <v>44686</v>
      </c>
      <c r="E250" s="14">
        <v>3</v>
      </c>
      <c r="F250" s="14">
        <v>4</v>
      </c>
      <c r="G250" s="14">
        <v>5</v>
      </c>
      <c r="H250" s="14">
        <v>60000</v>
      </c>
      <c r="I250" s="14">
        <v>64000</v>
      </c>
      <c r="J250" s="14">
        <v>60000</v>
      </c>
      <c r="K250" s="14">
        <v>184000</v>
      </c>
      <c r="L250" s="14" t="str">
        <f ca="1">VLOOKUP(B250, 회원, 4, 0)</f>
        <v>김설아</v>
      </c>
      <c r="M250" s="14" t="str">
        <f ca="1">VLOOKUP(C250, 패키지, 3, 0)</f>
        <v>대구 룰루랄라 패키지</v>
      </c>
    </row>
    <row r="251" spans="1:13" x14ac:dyDescent="0.3">
      <c r="A251" s="14">
        <v>250</v>
      </c>
      <c r="B251" s="14">
        <v>23</v>
      </c>
      <c r="C251" s="14">
        <v>14</v>
      </c>
      <c r="D251" s="15">
        <v>44687</v>
      </c>
      <c r="E251" s="14">
        <v>3</v>
      </c>
      <c r="F251" s="14">
        <v>1</v>
      </c>
      <c r="G251" s="14">
        <v>2</v>
      </c>
      <c r="H251" s="14">
        <v>84000</v>
      </c>
      <c r="I251" s="14">
        <v>22400</v>
      </c>
      <c r="J251" s="14">
        <v>33600</v>
      </c>
      <c r="K251" s="14">
        <v>140000</v>
      </c>
      <c r="L251" s="14" t="str">
        <f ca="1">VLOOKUP(B251, 회원, 4, 0)</f>
        <v>조아영</v>
      </c>
      <c r="M251" s="14" t="str">
        <f ca="1">VLOOKUP(C251, 패키지, 3, 0)</f>
        <v>경북 최고 패키지</v>
      </c>
    </row>
    <row r="252" spans="1:13" x14ac:dyDescent="0.3">
      <c r="A252" s="14">
        <v>251</v>
      </c>
      <c r="B252" s="14">
        <v>5</v>
      </c>
      <c r="C252" s="14">
        <v>7</v>
      </c>
      <c r="D252" s="15">
        <v>44688</v>
      </c>
      <c r="E252" s="14">
        <v>2</v>
      </c>
      <c r="F252" s="14">
        <v>1</v>
      </c>
      <c r="G252" s="14">
        <v>2</v>
      </c>
      <c r="H252" s="14">
        <v>52160</v>
      </c>
      <c r="I252" s="14">
        <v>20864</v>
      </c>
      <c r="J252" s="14">
        <v>31296</v>
      </c>
      <c r="K252" s="14">
        <v>104320</v>
      </c>
      <c r="L252" s="14" t="str">
        <f ca="1">VLOOKUP(B252, 회원, 4, 0)</f>
        <v>김성대</v>
      </c>
      <c r="M252" s="14" t="str">
        <f ca="1">VLOOKUP(C252, 패키지, 3, 0)</f>
        <v>경기 최고 패키지</v>
      </c>
    </row>
    <row r="253" spans="1:13" x14ac:dyDescent="0.3">
      <c r="A253" s="14">
        <v>252</v>
      </c>
      <c r="B253" s="14">
        <v>22</v>
      </c>
      <c r="C253" s="14">
        <v>57</v>
      </c>
      <c r="D253" s="15">
        <v>44688</v>
      </c>
      <c r="E253" s="14">
        <v>4</v>
      </c>
      <c r="F253" s="14">
        <v>4</v>
      </c>
      <c r="G253" s="14">
        <v>1</v>
      </c>
      <c r="H253" s="14">
        <v>80320</v>
      </c>
      <c r="I253" s="14">
        <v>64256</v>
      </c>
      <c r="J253" s="14">
        <v>12048</v>
      </c>
      <c r="K253" s="14">
        <v>156624</v>
      </c>
      <c r="L253" s="14" t="str">
        <f ca="1">VLOOKUP(B253, 회원, 4, 0)</f>
        <v>조민성</v>
      </c>
      <c r="M253" s="14" t="str">
        <f ca="1">VLOOKUP(C253, 패키지, 3, 0)</f>
        <v>충북 베스트 패키지</v>
      </c>
    </row>
    <row r="254" spans="1:13" x14ac:dyDescent="0.3">
      <c r="A254" s="14">
        <v>253</v>
      </c>
      <c r="B254" s="14">
        <v>4</v>
      </c>
      <c r="C254" s="14">
        <v>3</v>
      </c>
      <c r="D254" s="15">
        <v>44689</v>
      </c>
      <c r="E254" s="14">
        <v>3</v>
      </c>
      <c r="F254" s="14">
        <v>1</v>
      </c>
      <c r="G254" s="14">
        <v>1</v>
      </c>
      <c r="H254" s="14">
        <v>80160</v>
      </c>
      <c r="I254" s="14">
        <v>21376</v>
      </c>
      <c r="J254" s="14">
        <v>16032</v>
      </c>
      <c r="K254" s="14">
        <v>117568</v>
      </c>
      <c r="L254" s="14" t="str">
        <f ca="1">VLOOKUP(B254, 회원, 4, 0)</f>
        <v>김설아</v>
      </c>
      <c r="M254" s="14" t="str">
        <f ca="1">VLOOKUP(C254, 패키지, 3, 0)</f>
        <v>강원 할인 패키지</v>
      </c>
    </row>
    <row r="255" spans="1:13" x14ac:dyDescent="0.3">
      <c r="A255" s="14">
        <v>254</v>
      </c>
      <c r="B255" s="14">
        <v>20</v>
      </c>
      <c r="C255" s="14">
        <v>49</v>
      </c>
      <c r="D255" s="15">
        <v>44690</v>
      </c>
      <c r="E255" s="14">
        <v>3</v>
      </c>
      <c r="F255" s="14">
        <v>1</v>
      </c>
      <c r="G255" s="14">
        <v>2</v>
      </c>
      <c r="H255" s="14">
        <v>93600</v>
      </c>
      <c r="I255" s="14">
        <v>24960</v>
      </c>
      <c r="J255" s="14">
        <v>37440</v>
      </c>
      <c r="K255" s="14">
        <v>156000</v>
      </c>
      <c r="L255" s="14" t="str">
        <f ca="1">VLOOKUP(B255, 회원, 4, 0)</f>
        <v>이영주</v>
      </c>
      <c r="M255" s="14" t="str">
        <f ca="1">VLOOKUP(C255, 패키지, 3, 0)</f>
        <v>전북 최고 패키지</v>
      </c>
    </row>
    <row r="256" spans="1:13" x14ac:dyDescent="0.3">
      <c r="A256" s="14">
        <v>255</v>
      </c>
      <c r="B256" s="14">
        <v>6</v>
      </c>
      <c r="C256" s="14">
        <v>32</v>
      </c>
      <c r="D256" s="15">
        <v>44690</v>
      </c>
      <c r="E256" s="14">
        <v>2</v>
      </c>
      <c r="F256" s="14">
        <v>0</v>
      </c>
      <c r="G256" s="14">
        <v>1</v>
      </c>
      <c r="H256" s="14">
        <v>51000</v>
      </c>
      <c r="I256" s="14">
        <v>0</v>
      </c>
      <c r="J256" s="14">
        <v>15300</v>
      </c>
      <c r="K256" s="14">
        <v>66300</v>
      </c>
      <c r="L256" s="14" t="str">
        <f ca="1">VLOOKUP(B256, 회원, 4, 0)</f>
        <v>김성숙</v>
      </c>
      <c r="M256" s="14" t="str">
        <f ca="1">VLOOKUP(C256, 패키지, 3, 0)</f>
        <v>서울 반가워 패키지</v>
      </c>
    </row>
    <row r="257" spans="1:13" x14ac:dyDescent="0.3">
      <c r="A257" s="14">
        <v>256</v>
      </c>
      <c r="B257" s="14">
        <v>17</v>
      </c>
      <c r="C257" s="14">
        <v>34</v>
      </c>
      <c r="D257" s="15">
        <v>44691</v>
      </c>
      <c r="E257" s="14">
        <v>2</v>
      </c>
      <c r="F257" s="14">
        <v>3</v>
      </c>
      <c r="G257" s="14">
        <v>3</v>
      </c>
      <c r="H257" s="14">
        <v>53600</v>
      </c>
      <c r="I257" s="14">
        <v>64320</v>
      </c>
      <c r="J257" s="14">
        <v>48240</v>
      </c>
      <c r="K257" s="14">
        <v>166160</v>
      </c>
      <c r="L257" s="14" t="str">
        <f ca="1">VLOOKUP(B257, 회원, 4, 0)</f>
        <v>윤산하</v>
      </c>
      <c r="M257" s="14" t="str">
        <f ca="1">VLOOKUP(C257, 패키지, 3, 0)</f>
        <v>서울 베스트 패키지</v>
      </c>
    </row>
    <row r="258" spans="1:13" x14ac:dyDescent="0.3">
      <c r="A258" s="14">
        <v>257</v>
      </c>
      <c r="B258" s="14">
        <v>21</v>
      </c>
      <c r="C258" s="14">
        <v>5</v>
      </c>
      <c r="D258" s="15">
        <v>44691</v>
      </c>
      <c r="E258" s="14">
        <v>0</v>
      </c>
      <c r="F258" s="14">
        <v>2</v>
      </c>
      <c r="G258" s="14">
        <v>1</v>
      </c>
      <c r="H258" s="14">
        <v>0</v>
      </c>
      <c r="I258" s="14">
        <v>37632</v>
      </c>
      <c r="J258" s="14">
        <v>14112</v>
      </c>
      <c r="K258" s="14">
        <v>51744</v>
      </c>
      <c r="L258" s="14" t="str">
        <f ca="1">VLOOKUP(B258, 회원, 4, 0)</f>
        <v>전자미</v>
      </c>
      <c r="M258" s="14" t="str">
        <f ca="1">VLOOKUP(C258, 패키지, 3, 0)</f>
        <v>강원 선샤인 패키지</v>
      </c>
    </row>
    <row r="259" spans="1:13" x14ac:dyDescent="0.3">
      <c r="A259" s="14">
        <v>258</v>
      </c>
      <c r="B259" s="14">
        <v>16</v>
      </c>
      <c r="C259" s="14">
        <v>33</v>
      </c>
      <c r="D259" s="15">
        <v>44691</v>
      </c>
      <c r="E259" s="14">
        <v>2</v>
      </c>
      <c r="F259" s="14">
        <v>5</v>
      </c>
      <c r="G259" s="14">
        <v>1</v>
      </c>
      <c r="H259" s="14">
        <v>27200</v>
      </c>
      <c r="I259" s="14">
        <v>54400</v>
      </c>
      <c r="J259" s="14">
        <v>8160</v>
      </c>
      <c r="K259" s="14">
        <v>89760</v>
      </c>
      <c r="L259" s="14" t="str">
        <f ca="1">VLOOKUP(B259, 회원, 4, 0)</f>
        <v>유하나</v>
      </c>
      <c r="M259" s="14" t="str">
        <f ca="1">VLOOKUP(C259, 패키지, 3, 0)</f>
        <v>서울 룰루랄라 패키지</v>
      </c>
    </row>
    <row r="260" spans="1:13" x14ac:dyDescent="0.3">
      <c r="A260" s="14">
        <v>259</v>
      </c>
      <c r="B260" s="14">
        <v>8</v>
      </c>
      <c r="C260" s="14">
        <v>21</v>
      </c>
      <c r="D260" s="15">
        <v>44691</v>
      </c>
      <c r="E260" s="14">
        <v>2</v>
      </c>
      <c r="F260" s="14">
        <v>1</v>
      </c>
      <c r="G260" s="14">
        <v>2</v>
      </c>
      <c r="H260" s="14">
        <v>40000</v>
      </c>
      <c r="I260" s="14">
        <v>16000</v>
      </c>
      <c r="J260" s="14">
        <v>24000</v>
      </c>
      <c r="K260" s="14">
        <v>80000</v>
      </c>
      <c r="L260" s="14" t="str">
        <f ca="1">VLOOKUP(B260, 회원, 4, 0)</f>
        <v>김연우</v>
      </c>
      <c r="M260" s="14" t="str">
        <f ca="1">VLOOKUP(C260, 패키지, 3, 0)</f>
        <v>대구 룰루랄라 패키지</v>
      </c>
    </row>
    <row r="261" spans="1:13" x14ac:dyDescent="0.3">
      <c r="A261" s="14">
        <v>260</v>
      </c>
      <c r="B261" s="14">
        <v>8</v>
      </c>
      <c r="C261" s="14">
        <v>17</v>
      </c>
      <c r="D261" s="15">
        <v>44692</v>
      </c>
      <c r="E261" s="14">
        <v>3</v>
      </c>
      <c r="F261" s="14">
        <v>4</v>
      </c>
      <c r="G261" s="14">
        <v>1</v>
      </c>
      <c r="H261" s="14">
        <v>75600</v>
      </c>
      <c r="I261" s="14">
        <v>80640</v>
      </c>
      <c r="J261" s="14">
        <v>15120</v>
      </c>
      <c r="K261" s="14">
        <v>171360</v>
      </c>
      <c r="L261" s="14" t="str">
        <f ca="1">VLOOKUP(B261, 회원, 4, 0)</f>
        <v>김연우</v>
      </c>
      <c r="M261" s="14" t="str">
        <f ca="1">VLOOKUP(C261, 패키지, 3, 0)</f>
        <v>경북 베스트 패키지</v>
      </c>
    </row>
    <row r="262" spans="1:13" x14ac:dyDescent="0.3">
      <c r="A262" s="14">
        <v>261</v>
      </c>
      <c r="B262" s="14">
        <v>17</v>
      </c>
      <c r="C262" s="14">
        <v>31</v>
      </c>
      <c r="D262" s="15">
        <v>44693</v>
      </c>
      <c r="E262" s="14">
        <v>0</v>
      </c>
      <c r="F262" s="14">
        <v>3</v>
      </c>
      <c r="G262" s="14">
        <v>3</v>
      </c>
      <c r="H262" s="14">
        <v>0</v>
      </c>
      <c r="I262" s="14">
        <v>30240</v>
      </c>
      <c r="J262" s="14">
        <v>22680</v>
      </c>
      <c r="K262" s="14">
        <v>52920</v>
      </c>
      <c r="L262" s="14" t="str">
        <f ca="1">VLOOKUP(B262, 회원, 4, 0)</f>
        <v>윤산하</v>
      </c>
      <c r="M262" s="14" t="str">
        <f ca="1">VLOOKUP(C262, 패키지, 3, 0)</f>
        <v>부산 최고 패키지</v>
      </c>
    </row>
    <row r="263" spans="1:13" x14ac:dyDescent="0.3">
      <c r="A263" s="14">
        <v>262</v>
      </c>
      <c r="B263" s="14">
        <v>19</v>
      </c>
      <c r="C263" s="14">
        <v>11</v>
      </c>
      <c r="D263" s="15">
        <v>44693</v>
      </c>
      <c r="E263" s="14">
        <v>1</v>
      </c>
      <c r="F263" s="14">
        <v>2</v>
      </c>
      <c r="G263" s="14">
        <v>2</v>
      </c>
      <c r="H263" s="14">
        <v>21600</v>
      </c>
      <c r="I263" s="14">
        <v>34560</v>
      </c>
      <c r="J263" s="14">
        <v>25920</v>
      </c>
      <c r="K263" s="14">
        <v>82080</v>
      </c>
      <c r="L263" s="14" t="str">
        <f ca="1">VLOOKUP(B263, 회원, 4, 0)</f>
        <v>이소윤</v>
      </c>
      <c r="M263" s="14" t="str">
        <f ca="1">VLOOKUP(C263, 패키지, 3, 0)</f>
        <v>경남 할인 패키지</v>
      </c>
    </row>
    <row r="264" spans="1:13" x14ac:dyDescent="0.3">
      <c r="A264" s="14">
        <v>263</v>
      </c>
      <c r="B264" s="14">
        <v>11</v>
      </c>
      <c r="C264" s="14">
        <v>10</v>
      </c>
      <c r="D264" s="15">
        <v>44693</v>
      </c>
      <c r="E264" s="14">
        <v>0</v>
      </c>
      <c r="F264" s="14">
        <v>1</v>
      </c>
      <c r="G264" s="14">
        <v>4</v>
      </c>
      <c r="H264" s="14">
        <v>0</v>
      </c>
      <c r="I264" s="14">
        <v>17920</v>
      </c>
      <c r="J264" s="14">
        <v>53760</v>
      </c>
      <c r="K264" s="14">
        <v>71680</v>
      </c>
      <c r="L264" s="14" t="str">
        <f ca="1">VLOOKUP(B264, 회원, 4, 0)</f>
        <v>남정휴</v>
      </c>
      <c r="M264" s="14" t="str">
        <f ca="1">VLOOKUP(C264, 패키지, 3, 0)</f>
        <v>경남 추억 패키지</v>
      </c>
    </row>
    <row r="265" spans="1:13" x14ac:dyDescent="0.3">
      <c r="A265" s="14">
        <v>264</v>
      </c>
      <c r="B265" s="14">
        <v>26</v>
      </c>
      <c r="C265" s="14">
        <v>54</v>
      </c>
      <c r="D265" s="15">
        <v>44694</v>
      </c>
      <c r="E265" s="14">
        <v>3</v>
      </c>
      <c r="F265" s="14">
        <v>0</v>
      </c>
      <c r="G265" s="14">
        <v>1</v>
      </c>
      <c r="H265" s="14">
        <v>66420</v>
      </c>
      <c r="I265" s="14">
        <v>0</v>
      </c>
      <c r="J265" s="14">
        <v>13284</v>
      </c>
      <c r="K265" s="14">
        <v>79704</v>
      </c>
      <c r="L265" s="14" t="str">
        <f ca="1">VLOOKUP(B265, 회원, 4, 0)</f>
        <v>홍성장</v>
      </c>
      <c r="M265" s="14" t="str">
        <f ca="1">VLOOKUP(C265, 패키지, 3, 0)</f>
        <v>충남 베스트 패키지</v>
      </c>
    </row>
    <row r="266" spans="1:13" x14ac:dyDescent="0.3">
      <c r="A266" s="14">
        <v>265</v>
      </c>
      <c r="B266" s="14">
        <v>27</v>
      </c>
      <c r="C266" s="14">
        <v>17</v>
      </c>
      <c r="D266" s="15">
        <v>44695</v>
      </c>
      <c r="E266" s="14">
        <v>5</v>
      </c>
      <c r="F266" s="14">
        <v>5</v>
      </c>
      <c r="G266" s="14">
        <v>5</v>
      </c>
      <c r="H266" s="14">
        <v>126000</v>
      </c>
      <c r="I266" s="14">
        <v>100800</v>
      </c>
      <c r="J266" s="14">
        <v>75600</v>
      </c>
      <c r="K266" s="14">
        <v>302400</v>
      </c>
      <c r="L266" s="14" t="str">
        <f ca="1">VLOOKUP(B266, 회원, 4, 0)</f>
        <v>홍아람</v>
      </c>
      <c r="M266" s="14" t="str">
        <f ca="1">VLOOKUP(C266, 패키지, 3, 0)</f>
        <v>경북 베스트 패키지</v>
      </c>
    </row>
    <row r="267" spans="1:13" x14ac:dyDescent="0.3">
      <c r="A267" s="14">
        <v>266</v>
      </c>
      <c r="B267" s="14">
        <v>20</v>
      </c>
      <c r="C267" s="14">
        <v>35</v>
      </c>
      <c r="D267" s="15">
        <v>44696</v>
      </c>
      <c r="E267" s="14">
        <v>1</v>
      </c>
      <c r="F267" s="14">
        <v>1</v>
      </c>
      <c r="G267" s="14">
        <v>3</v>
      </c>
      <c r="H267" s="14">
        <v>27900</v>
      </c>
      <c r="I267" s="14">
        <v>22320</v>
      </c>
      <c r="J267" s="14">
        <v>50220</v>
      </c>
      <c r="K267" s="14">
        <v>100440</v>
      </c>
      <c r="L267" s="14" t="str">
        <f ca="1">VLOOKUP(B267, 회원, 4, 0)</f>
        <v>이영주</v>
      </c>
      <c r="M267" s="14" t="str">
        <f ca="1">VLOOKUP(C267, 패키지, 3, 0)</f>
        <v>서울 선샤인 패키지</v>
      </c>
    </row>
    <row r="268" spans="1:13" x14ac:dyDescent="0.3">
      <c r="A268" s="14">
        <v>267</v>
      </c>
      <c r="B268" s="14">
        <v>14</v>
      </c>
      <c r="C268" s="14">
        <v>52</v>
      </c>
      <c r="D268" s="15">
        <v>44696</v>
      </c>
      <c r="E268" s="14">
        <v>0</v>
      </c>
      <c r="F268" s="14">
        <v>0</v>
      </c>
      <c r="G268" s="14">
        <v>1</v>
      </c>
      <c r="H268" s="14">
        <v>0</v>
      </c>
      <c r="I268" s="14">
        <v>0</v>
      </c>
      <c r="J268" s="14">
        <v>9720</v>
      </c>
      <c r="K268" s="14">
        <v>9720</v>
      </c>
      <c r="L268" s="14" t="str">
        <f ca="1">VLOOKUP(B268, 회원, 4, 0)</f>
        <v>배보라</v>
      </c>
      <c r="M268" s="14" t="str">
        <f ca="1">VLOOKUP(C268, 패키지, 3, 0)</f>
        <v>제주 베스트 패키지</v>
      </c>
    </row>
    <row r="269" spans="1:13" x14ac:dyDescent="0.3">
      <c r="A269" s="14">
        <v>268</v>
      </c>
      <c r="B269" s="14">
        <v>19</v>
      </c>
      <c r="C269" s="14">
        <v>50</v>
      </c>
      <c r="D269" s="15">
        <v>44697</v>
      </c>
      <c r="E269" s="14">
        <v>2</v>
      </c>
      <c r="F269" s="14">
        <v>5</v>
      </c>
      <c r="G269" s="14">
        <v>0</v>
      </c>
      <c r="H269" s="14">
        <v>68400</v>
      </c>
      <c r="I269" s="14">
        <v>136800</v>
      </c>
      <c r="J269" s="14">
        <v>0</v>
      </c>
      <c r="K269" s="14">
        <v>205200</v>
      </c>
      <c r="L269" s="14" t="str">
        <f ca="1">VLOOKUP(B269, 회원, 4, 0)</f>
        <v>이소윤</v>
      </c>
      <c r="M269" s="14" t="str">
        <f ca="1">VLOOKUP(C269, 패키지, 3, 0)</f>
        <v>전북 맛집 패키지</v>
      </c>
    </row>
    <row r="270" spans="1:13" x14ac:dyDescent="0.3">
      <c r="A270" s="14">
        <v>269</v>
      </c>
      <c r="B270" s="14">
        <v>25</v>
      </c>
      <c r="C270" s="14">
        <v>8</v>
      </c>
      <c r="D270" s="15">
        <v>44697</v>
      </c>
      <c r="E270" s="14">
        <v>0</v>
      </c>
      <c r="F270" s="14">
        <v>4</v>
      </c>
      <c r="G270" s="14">
        <v>3</v>
      </c>
      <c r="H270" s="14">
        <v>0</v>
      </c>
      <c r="I270" s="14">
        <v>70144</v>
      </c>
      <c r="J270" s="14">
        <v>39456</v>
      </c>
      <c r="K270" s="14">
        <v>109600</v>
      </c>
      <c r="L270" s="14" t="str">
        <f ca="1">VLOOKUP(B270, 회원, 4, 0)</f>
        <v>홍길동</v>
      </c>
      <c r="M270" s="14" t="str">
        <f ca="1">VLOOKUP(C270, 패키지, 3, 0)</f>
        <v>경기 룰루랄라 패키지</v>
      </c>
    </row>
    <row r="271" spans="1:13" x14ac:dyDescent="0.3">
      <c r="A271" s="14">
        <v>270</v>
      </c>
      <c r="B271" s="14">
        <v>7</v>
      </c>
      <c r="C271" s="14">
        <v>4</v>
      </c>
      <c r="D271" s="15">
        <v>44700</v>
      </c>
      <c r="E271" s="14">
        <v>3</v>
      </c>
      <c r="F271" s="14">
        <v>0</v>
      </c>
      <c r="G271" s="14">
        <v>2</v>
      </c>
      <c r="H271" s="14">
        <v>94860</v>
      </c>
      <c r="I271" s="14">
        <v>0</v>
      </c>
      <c r="J271" s="14">
        <v>37944</v>
      </c>
      <c r="K271" s="14">
        <v>132804</v>
      </c>
      <c r="L271" s="14" t="str">
        <f ca="1">VLOOKUP(B271, 회원, 4, 0)</f>
        <v>김숙희</v>
      </c>
      <c r="M271" s="14" t="str">
        <f ca="1">VLOOKUP(C271, 패키지, 3, 0)</f>
        <v>강원 해피 패키지</v>
      </c>
    </row>
    <row r="272" spans="1:13" x14ac:dyDescent="0.3">
      <c r="A272" s="14">
        <v>271</v>
      </c>
      <c r="B272" s="14">
        <v>3</v>
      </c>
      <c r="C272" s="14">
        <v>14</v>
      </c>
      <c r="D272" s="15">
        <v>44701</v>
      </c>
      <c r="E272" s="14">
        <v>5</v>
      </c>
      <c r="F272" s="14">
        <v>1</v>
      </c>
      <c r="G272" s="14">
        <v>1</v>
      </c>
      <c r="H272" s="14">
        <v>140000</v>
      </c>
      <c r="I272" s="14">
        <v>22400</v>
      </c>
      <c r="J272" s="14">
        <v>16800</v>
      </c>
      <c r="K272" s="14">
        <v>179200</v>
      </c>
      <c r="L272" s="14" t="str">
        <f ca="1">VLOOKUP(B272, 회원, 4, 0)</f>
        <v>김경영</v>
      </c>
      <c r="M272" s="14" t="str">
        <f ca="1">VLOOKUP(C272, 패키지, 3, 0)</f>
        <v>경북 최고 패키지</v>
      </c>
    </row>
    <row r="273" spans="1:13" x14ac:dyDescent="0.3">
      <c r="A273" s="14">
        <v>272</v>
      </c>
      <c r="B273" s="14">
        <v>25</v>
      </c>
      <c r="C273" s="14">
        <v>42</v>
      </c>
      <c r="D273" s="15">
        <v>44701</v>
      </c>
      <c r="E273" s="14">
        <v>4</v>
      </c>
      <c r="F273" s="14">
        <v>2</v>
      </c>
      <c r="G273" s="14">
        <v>4</v>
      </c>
      <c r="H273" s="14">
        <v>28800</v>
      </c>
      <c r="I273" s="14">
        <v>11520</v>
      </c>
      <c r="J273" s="14">
        <v>17280</v>
      </c>
      <c r="K273" s="14">
        <v>57600</v>
      </c>
      <c r="L273" s="14" t="str">
        <f ca="1">VLOOKUP(B273, 회원, 4, 0)</f>
        <v>홍길동</v>
      </c>
      <c r="M273" s="14" t="str">
        <f ca="1">VLOOKUP(C273, 패키지, 3, 0)</f>
        <v>인천 행복한 패키지</v>
      </c>
    </row>
    <row r="274" spans="1:13" x14ac:dyDescent="0.3">
      <c r="A274" s="14">
        <v>273</v>
      </c>
      <c r="B274" s="14">
        <v>23</v>
      </c>
      <c r="C274" s="14">
        <v>43</v>
      </c>
      <c r="D274" s="15">
        <v>44702</v>
      </c>
      <c r="E274" s="14">
        <v>5</v>
      </c>
      <c r="F274" s="14">
        <v>4</v>
      </c>
      <c r="G274" s="14">
        <v>0</v>
      </c>
      <c r="H274" s="14">
        <v>108000</v>
      </c>
      <c r="I274" s="14">
        <v>69120</v>
      </c>
      <c r="J274" s="14">
        <v>0</v>
      </c>
      <c r="K274" s="14">
        <v>177120</v>
      </c>
      <c r="L274" s="14" t="str">
        <f ca="1">VLOOKUP(B274, 회원, 4, 0)</f>
        <v>조아영</v>
      </c>
      <c r="M274" s="14" t="str">
        <f ca="1">VLOOKUP(C274, 패키지, 3, 0)</f>
        <v>인천 선샤인 패키지</v>
      </c>
    </row>
    <row r="275" spans="1:13" x14ac:dyDescent="0.3">
      <c r="A275" s="14">
        <v>274</v>
      </c>
      <c r="B275" s="14">
        <v>1</v>
      </c>
      <c r="C275" s="14">
        <v>38</v>
      </c>
      <c r="D275" s="15">
        <v>44703</v>
      </c>
      <c r="E275" s="14">
        <v>3</v>
      </c>
      <c r="F275" s="14">
        <v>2</v>
      </c>
      <c r="G275" s="14">
        <v>5</v>
      </c>
      <c r="H275" s="14">
        <v>21600</v>
      </c>
      <c r="I275" s="14">
        <v>11520</v>
      </c>
      <c r="J275" s="14">
        <v>21600</v>
      </c>
      <c r="K275" s="14">
        <v>54720</v>
      </c>
      <c r="L275" s="14" t="str">
        <f ca="1">VLOOKUP(B275, 회원, 4, 0)</f>
        <v>감예쁨</v>
      </c>
      <c r="M275" s="14" t="str">
        <f ca="1">VLOOKUP(C275, 패키지, 3, 0)</f>
        <v>세종 또만나 패키지</v>
      </c>
    </row>
    <row r="276" spans="1:13" x14ac:dyDescent="0.3">
      <c r="A276" s="14">
        <v>275</v>
      </c>
      <c r="B276" s="14">
        <v>13</v>
      </c>
      <c r="C276" s="14">
        <v>15</v>
      </c>
      <c r="D276" s="15">
        <v>44703</v>
      </c>
      <c r="E276" s="14">
        <v>1</v>
      </c>
      <c r="F276" s="14">
        <v>5</v>
      </c>
      <c r="G276" s="14">
        <v>3</v>
      </c>
      <c r="H276" s="14">
        <v>18900</v>
      </c>
      <c r="I276" s="14">
        <v>75600</v>
      </c>
      <c r="J276" s="14">
        <v>34020</v>
      </c>
      <c r="K276" s="14">
        <v>128520</v>
      </c>
      <c r="L276" s="14" t="str">
        <f ca="1">VLOOKUP(B276, 회원, 4, 0)</f>
        <v>박지성</v>
      </c>
      <c r="M276" s="14" t="str">
        <f ca="1">VLOOKUP(C276, 패키지, 3, 0)</f>
        <v>경북 맛집 패키지</v>
      </c>
    </row>
    <row r="277" spans="1:13" x14ac:dyDescent="0.3">
      <c r="A277" s="14">
        <v>276</v>
      </c>
      <c r="B277" s="14">
        <v>8</v>
      </c>
      <c r="C277" s="14">
        <v>3</v>
      </c>
      <c r="D277" s="15">
        <v>44703</v>
      </c>
      <c r="E277" s="14">
        <v>3</v>
      </c>
      <c r="F277" s="14">
        <v>4</v>
      </c>
      <c r="G277" s="14">
        <v>5</v>
      </c>
      <c r="H277" s="14">
        <v>80160</v>
      </c>
      <c r="I277" s="14">
        <v>85504</v>
      </c>
      <c r="J277" s="14">
        <v>80160</v>
      </c>
      <c r="K277" s="14">
        <v>245824</v>
      </c>
      <c r="L277" s="14" t="str">
        <f ca="1">VLOOKUP(B277, 회원, 4, 0)</f>
        <v>김연우</v>
      </c>
      <c r="M277" s="14" t="str">
        <f ca="1">VLOOKUP(C277, 패키지, 3, 0)</f>
        <v>강원 할인 패키지</v>
      </c>
    </row>
    <row r="278" spans="1:13" x14ac:dyDescent="0.3">
      <c r="A278" s="14">
        <v>277</v>
      </c>
      <c r="B278" s="14">
        <v>22</v>
      </c>
      <c r="C278" s="14">
        <v>48</v>
      </c>
      <c r="D278" s="15">
        <v>44703</v>
      </c>
      <c r="E278" s="14">
        <v>2</v>
      </c>
      <c r="F278" s="14">
        <v>0</v>
      </c>
      <c r="G278" s="14">
        <v>5</v>
      </c>
      <c r="H278" s="14">
        <v>36800</v>
      </c>
      <c r="I278" s="14">
        <v>0</v>
      </c>
      <c r="J278" s="14">
        <v>55200</v>
      </c>
      <c r="K278" s="14">
        <v>92000</v>
      </c>
      <c r="L278" s="14" t="str">
        <f ca="1">VLOOKUP(B278, 회원, 4, 0)</f>
        <v>조민성</v>
      </c>
      <c r="M278" s="14" t="str">
        <f ca="1">VLOOKUP(C278, 패키지, 3, 0)</f>
        <v>전북 선샤인 패키지</v>
      </c>
    </row>
    <row r="279" spans="1:13" x14ac:dyDescent="0.3">
      <c r="A279" s="14">
        <v>278</v>
      </c>
      <c r="B279" s="14">
        <v>12</v>
      </c>
      <c r="C279" s="14">
        <v>28</v>
      </c>
      <c r="D279" s="15">
        <v>44704</v>
      </c>
      <c r="E279" s="14">
        <v>4</v>
      </c>
      <c r="F279" s="14">
        <v>2</v>
      </c>
      <c r="G279" s="14">
        <v>1</v>
      </c>
      <c r="H279" s="14">
        <v>46800</v>
      </c>
      <c r="I279" s="14">
        <v>18720</v>
      </c>
      <c r="J279" s="14">
        <v>7020</v>
      </c>
      <c r="K279" s="14">
        <v>72540</v>
      </c>
      <c r="L279" s="14" t="str">
        <f ca="1">VLOOKUP(B279, 회원, 4, 0)</f>
        <v>박아름</v>
      </c>
      <c r="M279" s="14" t="str">
        <f ca="1">VLOOKUP(C279, 패키지, 3, 0)</f>
        <v>부산 선샤인 패키지</v>
      </c>
    </row>
    <row r="280" spans="1:13" x14ac:dyDescent="0.3">
      <c r="A280" s="14">
        <v>279</v>
      </c>
      <c r="B280" s="14">
        <v>12</v>
      </c>
      <c r="C280" s="14">
        <v>10</v>
      </c>
      <c r="D280" s="15">
        <v>44705</v>
      </c>
      <c r="E280" s="14">
        <v>2</v>
      </c>
      <c r="F280" s="14">
        <v>3</v>
      </c>
      <c r="G280" s="14">
        <v>5</v>
      </c>
      <c r="H280" s="14">
        <v>44800</v>
      </c>
      <c r="I280" s="14">
        <v>53760</v>
      </c>
      <c r="J280" s="14">
        <v>67200</v>
      </c>
      <c r="K280" s="14">
        <v>165760</v>
      </c>
      <c r="L280" s="14" t="str">
        <f ca="1">VLOOKUP(B280, 회원, 4, 0)</f>
        <v>박아름</v>
      </c>
      <c r="M280" s="14" t="str">
        <f ca="1">VLOOKUP(C280, 패키지, 3, 0)</f>
        <v>경남 추억 패키지</v>
      </c>
    </row>
    <row r="281" spans="1:13" x14ac:dyDescent="0.3">
      <c r="A281" s="14">
        <v>280</v>
      </c>
      <c r="B281" s="14">
        <v>21</v>
      </c>
      <c r="C281" s="14">
        <v>47</v>
      </c>
      <c r="D281" s="15">
        <v>44705</v>
      </c>
      <c r="E281" s="14">
        <v>2</v>
      </c>
      <c r="F281" s="14">
        <v>4</v>
      </c>
      <c r="G281" s="14">
        <v>4</v>
      </c>
      <c r="H281" s="14">
        <v>23400</v>
      </c>
      <c r="I281" s="14">
        <v>37440</v>
      </c>
      <c r="J281" s="14">
        <v>28080</v>
      </c>
      <c r="K281" s="14">
        <v>88920</v>
      </c>
      <c r="L281" s="14" t="str">
        <f ca="1">VLOOKUP(B281, 회원, 4, 0)</f>
        <v>전자미</v>
      </c>
      <c r="M281" s="14" t="str">
        <f ca="1">VLOOKUP(C281, 패키지, 3, 0)</f>
        <v>전남 맛집 패키지</v>
      </c>
    </row>
    <row r="282" spans="1:13" x14ac:dyDescent="0.3">
      <c r="A282" s="14">
        <v>281</v>
      </c>
      <c r="B282" s="14">
        <v>7</v>
      </c>
      <c r="C282" s="14">
        <v>1</v>
      </c>
      <c r="D282" s="15">
        <v>44705</v>
      </c>
      <c r="E282" s="14">
        <v>5</v>
      </c>
      <c r="F282" s="14">
        <v>5</v>
      </c>
      <c r="G282" s="14">
        <v>1</v>
      </c>
      <c r="H282" s="14">
        <v>93600</v>
      </c>
      <c r="I282" s="14">
        <v>74880</v>
      </c>
      <c r="J282" s="14">
        <v>11232</v>
      </c>
      <c r="K282" s="14">
        <v>179712</v>
      </c>
      <c r="L282" s="14" t="str">
        <f ca="1">VLOOKUP(B282, 회원, 4, 0)</f>
        <v>김숙희</v>
      </c>
      <c r="M282" s="14" t="str">
        <f ca="1">VLOOKUP(C282, 패키지, 3, 0)</f>
        <v>강원 최고 패키지</v>
      </c>
    </row>
    <row r="283" spans="1:13" x14ac:dyDescent="0.3">
      <c r="A283" s="14">
        <v>282</v>
      </c>
      <c r="B283" s="14">
        <v>18</v>
      </c>
      <c r="C283" s="14">
        <v>31</v>
      </c>
      <c r="D283" s="15">
        <v>44705</v>
      </c>
      <c r="E283" s="14">
        <v>4</v>
      </c>
      <c r="F283" s="14">
        <v>3</v>
      </c>
      <c r="G283" s="14">
        <v>5</v>
      </c>
      <c r="H283" s="14">
        <v>50400</v>
      </c>
      <c r="I283" s="14">
        <v>30240</v>
      </c>
      <c r="J283" s="14">
        <v>37800</v>
      </c>
      <c r="K283" s="14">
        <v>118440</v>
      </c>
      <c r="L283" s="14" t="str">
        <f ca="1">VLOOKUP(B283, 회원, 4, 0)</f>
        <v>이상구</v>
      </c>
      <c r="M283" s="14" t="str">
        <f ca="1">VLOOKUP(C283, 패키지, 3, 0)</f>
        <v>부산 최고 패키지</v>
      </c>
    </row>
    <row r="284" spans="1:13" x14ac:dyDescent="0.3">
      <c r="A284" s="14">
        <v>283</v>
      </c>
      <c r="B284" s="14">
        <v>1</v>
      </c>
      <c r="C284" s="14">
        <v>11</v>
      </c>
      <c r="D284" s="15">
        <v>44705</v>
      </c>
      <c r="E284" s="14">
        <v>5</v>
      </c>
      <c r="F284" s="14">
        <v>3</v>
      </c>
      <c r="G284" s="14">
        <v>2</v>
      </c>
      <c r="H284" s="14">
        <v>108000</v>
      </c>
      <c r="I284" s="14">
        <v>51840</v>
      </c>
      <c r="J284" s="14">
        <v>25920</v>
      </c>
      <c r="K284" s="14">
        <v>185760</v>
      </c>
      <c r="L284" s="14" t="str">
        <f ca="1">VLOOKUP(B284, 회원, 4, 0)</f>
        <v>감예쁨</v>
      </c>
      <c r="M284" s="14" t="str">
        <f ca="1">VLOOKUP(C284, 패키지, 3, 0)</f>
        <v>경남 할인 패키지</v>
      </c>
    </row>
    <row r="285" spans="1:13" x14ac:dyDescent="0.3">
      <c r="A285" s="14">
        <v>284</v>
      </c>
      <c r="B285" s="14">
        <v>11</v>
      </c>
      <c r="C285" s="14">
        <v>36</v>
      </c>
      <c r="D285" s="15">
        <v>44706</v>
      </c>
      <c r="E285" s="14">
        <v>1</v>
      </c>
      <c r="F285" s="14">
        <v>1</v>
      </c>
      <c r="G285" s="14">
        <v>5</v>
      </c>
      <c r="H285" s="14">
        <v>20250</v>
      </c>
      <c r="I285" s="14">
        <v>16200</v>
      </c>
      <c r="J285" s="14">
        <v>60750</v>
      </c>
      <c r="K285" s="14">
        <v>97200</v>
      </c>
      <c r="L285" s="14" t="str">
        <f ca="1">VLOOKUP(B285, 회원, 4, 0)</f>
        <v>남정휴</v>
      </c>
      <c r="M285" s="14" t="str">
        <f ca="1">VLOOKUP(C285, 패키지, 3, 0)</f>
        <v>서울 즐거운 패키지</v>
      </c>
    </row>
    <row r="286" spans="1:13" x14ac:dyDescent="0.3">
      <c r="A286" s="14">
        <v>285</v>
      </c>
      <c r="B286" s="14">
        <v>25</v>
      </c>
      <c r="C286" s="14">
        <v>39</v>
      </c>
      <c r="D286" s="15">
        <v>44706</v>
      </c>
      <c r="E286" s="14">
        <v>2</v>
      </c>
      <c r="F286" s="14">
        <v>2</v>
      </c>
      <c r="G286" s="14">
        <v>4</v>
      </c>
      <c r="H286" s="14">
        <v>37800</v>
      </c>
      <c r="I286" s="14">
        <v>30240</v>
      </c>
      <c r="J286" s="14">
        <v>45360</v>
      </c>
      <c r="K286" s="14">
        <v>113400</v>
      </c>
      <c r="L286" s="14" t="str">
        <f ca="1">VLOOKUP(B286, 회원, 4, 0)</f>
        <v>홍길동</v>
      </c>
      <c r="M286" s="14" t="str">
        <f ca="1">VLOOKUP(C286, 패키지, 3, 0)</f>
        <v>울산 카페투어 패키지</v>
      </c>
    </row>
    <row r="287" spans="1:13" x14ac:dyDescent="0.3">
      <c r="A287" s="14">
        <v>286</v>
      </c>
      <c r="B287" s="14">
        <v>27</v>
      </c>
      <c r="C287" s="14">
        <v>18</v>
      </c>
      <c r="D287" s="15">
        <v>44708</v>
      </c>
      <c r="E287" s="14">
        <v>3</v>
      </c>
      <c r="F287" s="14">
        <v>3</v>
      </c>
      <c r="G287" s="14">
        <v>2</v>
      </c>
      <c r="H287" s="14">
        <v>78300</v>
      </c>
      <c r="I287" s="14">
        <v>62640</v>
      </c>
      <c r="J287" s="14">
        <v>31320</v>
      </c>
      <c r="K287" s="14">
        <v>172260</v>
      </c>
      <c r="L287" s="14" t="str">
        <f ca="1">VLOOKUP(B287, 회원, 4, 0)</f>
        <v>홍아람</v>
      </c>
      <c r="M287" s="14" t="str">
        <f ca="1">VLOOKUP(C287, 패키지, 3, 0)</f>
        <v>경북 행복한 패키지</v>
      </c>
    </row>
    <row r="288" spans="1:13" x14ac:dyDescent="0.3">
      <c r="A288" s="14">
        <v>287</v>
      </c>
      <c r="B288" s="14">
        <v>26</v>
      </c>
      <c r="C288" s="14">
        <v>27</v>
      </c>
      <c r="D288" s="15">
        <v>44708</v>
      </c>
      <c r="E288" s="14">
        <v>1</v>
      </c>
      <c r="F288" s="14">
        <v>3</v>
      </c>
      <c r="G288" s="14">
        <v>1</v>
      </c>
      <c r="H288" s="14">
        <v>15600</v>
      </c>
      <c r="I288" s="14">
        <v>37440</v>
      </c>
      <c r="J288" s="14">
        <v>9360</v>
      </c>
      <c r="K288" s="14">
        <v>62400</v>
      </c>
      <c r="L288" s="14" t="str">
        <f ca="1">VLOOKUP(B288, 회원, 4, 0)</f>
        <v>홍성장</v>
      </c>
      <c r="M288" s="14" t="str">
        <f ca="1">VLOOKUP(C288, 패키지, 3, 0)</f>
        <v>부산 베스트 패키지</v>
      </c>
    </row>
    <row r="289" spans="1:13" x14ac:dyDescent="0.3">
      <c r="A289" s="14">
        <v>288</v>
      </c>
      <c r="B289" s="14">
        <v>17</v>
      </c>
      <c r="C289" s="14">
        <v>5</v>
      </c>
      <c r="D289" s="15">
        <v>44709</v>
      </c>
      <c r="E289" s="14">
        <v>3</v>
      </c>
      <c r="F289" s="14">
        <v>4</v>
      </c>
      <c r="G289" s="14">
        <v>0</v>
      </c>
      <c r="H289" s="14">
        <v>70560</v>
      </c>
      <c r="I289" s="14">
        <v>75264</v>
      </c>
      <c r="J289" s="14">
        <v>0</v>
      </c>
      <c r="K289" s="14">
        <v>145824</v>
      </c>
      <c r="L289" s="14" t="str">
        <f ca="1">VLOOKUP(B289, 회원, 4, 0)</f>
        <v>윤산하</v>
      </c>
      <c r="M289" s="14" t="str">
        <f ca="1">VLOOKUP(C289, 패키지, 3, 0)</f>
        <v>강원 선샤인 패키지</v>
      </c>
    </row>
    <row r="290" spans="1:13" x14ac:dyDescent="0.3">
      <c r="A290" s="14">
        <v>289</v>
      </c>
      <c r="B290" s="14">
        <v>10</v>
      </c>
      <c r="C290" s="14">
        <v>23</v>
      </c>
      <c r="D290" s="15">
        <v>44710</v>
      </c>
      <c r="E290" s="14">
        <v>1</v>
      </c>
      <c r="F290" s="14">
        <v>1</v>
      </c>
      <c r="G290" s="14">
        <v>1</v>
      </c>
      <c r="H290" s="14">
        <v>6300</v>
      </c>
      <c r="I290" s="14">
        <v>5040</v>
      </c>
      <c r="J290" s="14">
        <v>3780</v>
      </c>
      <c r="K290" s="14">
        <v>15120</v>
      </c>
      <c r="L290" s="14" t="str">
        <f ca="1">VLOOKUP(B290, 회원, 4, 0)</f>
        <v>나종대</v>
      </c>
      <c r="M290" s="14" t="str">
        <f ca="1">VLOOKUP(C290, 패키지, 3, 0)</f>
        <v>대전 반가워 패키지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4</xdr:col>
                <xdr:colOff>419100</xdr:colOff>
                <xdr:row>0</xdr:row>
                <xdr:rowOff>47625</xdr:rowOff>
              </from>
              <to>
                <xdr:col>6</xdr:col>
                <xdr:colOff>676275</xdr:colOff>
                <xdr:row>2</xdr:row>
                <xdr:rowOff>114300</xdr:rowOff>
              </to>
            </anchor>
          </controlPr>
        </control>
      </mc:Choice>
      <mc:Fallback>
        <control shapeId="8193" r:id="rId3" name="CommandButton1"/>
      </mc:Fallback>
    </mc:AlternateContent>
    <mc:AlternateContent xmlns:mc="http://schemas.openxmlformats.org/markup-compatibility/2006">
      <mc:Choice Requires="x14">
        <control shapeId="8194" r:id="rId5" name="ComboBox1">
          <controlPr defaultSize="0" autoLine="0" listFillRange="ㅇㅇ!C1:C3" r:id="rId6">
            <anchor moveWithCells="1">
              <from>
                <xdr:col>0</xdr:col>
                <xdr:colOff>247650</xdr:colOff>
                <xdr:row>0</xdr:row>
                <xdr:rowOff>95250</xdr:rowOff>
              </from>
              <to>
                <xdr:col>4</xdr:col>
                <xdr:colOff>238125</xdr:colOff>
                <xdr:row>2</xdr:row>
                <xdr:rowOff>95250</xdr:rowOff>
              </to>
            </anchor>
          </controlPr>
        </control>
      </mc:Choice>
      <mc:Fallback>
        <control shapeId="8194" r:id="rId5" name="ComboBox1"/>
      </mc:Fallback>
    </mc:AlternateContent>
  </controls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R56"/>
  <sheetViews>
    <sheetView topLeftCell="A11" workbookViewId="0">
      <selection activeCell="H26" sqref="H26"/>
    </sheetView>
  </sheetViews>
  <sheetFormatPr defaultRowHeight="16.5" x14ac:dyDescent="0.3"/>
  <sheetData>
    <row r="1" spans="1:18" x14ac:dyDescent="0.3">
      <c r="A1" t="s">
        <v>620</v>
      </c>
      <c r="B1" t="s">
        <v>116</v>
      </c>
      <c r="C1" t="s">
        <v>241</v>
      </c>
      <c r="D1" t="s">
        <v>195</v>
      </c>
      <c r="E1" t="s">
        <v>208</v>
      </c>
      <c r="F1" t="s">
        <v>127</v>
      </c>
      <c r="G1" t="s">
        <v>151</v>
      </c>
      <c r="H1" t="s">
        <v>230</v>
      </c>
      <c r="I1" t="s">
        <v>278</v>
      </c>
      <c r="J1" t="s">
        <v>252</v>
      </c>
      <c r="K1" t="s">
        <v>291</v>
      </c>
      <c r="L1" t="s">
        <v>265</v>
      </c>
      <c r="M1" t="s">
        <v>184</v>
      </c>
      <c r="N1" t="s">
        <v>219</v>
      </c>
      <c r="O1" t="s">
        <v>164</v>
      </c>
      <c r="P1" t="s">
        <v>173</v>
      </c>
      <c r="Q1" t="s">
        <v>138</v>
      </c>
      <c r="R1" t="s">
        <v>302</v>
      </c>
    </row>
    <row r="2" spans="1:18" x14ac:dyDescent="0.3">
      <c r="A2" t="s">
        <v>116</v>
      </c>
      <c r="B2">
        <v>0</v>
      </c>
      <c r="C2">
        <v>59.6</v>
      </c>
      <c r="D2">
        <v>252.2</v>
      </c>
      <c r="E2">
        <v>17.399999999999999</v>
      </c>
      <c r="F2">
        <v>79.8</v>
      </c>
      <c r="G2">
        <v>47.1</v>
      </c>
      <c r="H2">
        <v>108</v>
      </c>
      <c r="I2">
        <v>292.60000000000002</v>
      </c>
      <c r="J2">
        <v>237.1</v>
      </c>
      <c r="K2">
        <v>177.6</v>
      </c>
      <c r="L2">
        <v>159.4</v>
      </c>
      <c r="M2">
        <v>147</v>
      </c>
      <c r="N2">
        <v>119.3</v>
      </c>
      <c r="O2">
        <v>209</v>
      </c>
      <c r="P2">
        <v>183.9</v>
      </c>
      <c r="Q2">
        <v>159.5</v>
      </c>
      <c r="R2">
        <v>139.30000000000001</v>
      </c>
    </row>
    <row r="3" spans="1:18" x14ac:dyDescent="0.3">
      <c r="A3" t="s">
        <v>241</v>
      </c>
      <c r="B3">
        <v>59.6</v>
      </c>
      <c r="C3">
        <v>0</v>
      </c>
      <c r="D3">
        <v>127.3</v>
      </c>
      <c r="E3">
        <v>46.8</v>
      </c>
      <c r="F3">
        <v>83.4</v>
      </c>
      <c r="G3">
        <v>99.2</v>
      </c>
      <c r="H3">
        <v>111</v>
      </c>
      <c r="I3">
        <v>243.3</v>
      </c>
      <c r="J3">
        <v>187.8</v>
      </c>
      <c r="K3">
        <v>128.69999999999999</v>
      </c>
      <c r="L3">
        <v>110.1</v>
      </c>
      <c r="M3">
        <v>97.6</v>
      </c>
      <c r="N3">
        <v>75.7</v>
      </c>
      <c r="O3">
        <v>159.69999999999999</v>
      </c>
      <c r="P3">
        <v>134.5</v>
      </c>
      <c r="Q3">
        <v>110.1</v>
      </c>
      <c r="R3">
        <v>89.9</v>
      </c>
    </row>
    <row r="4" spans="1:18" x14ac:dyDescent="0.3">
      <c r="A4" t="s">
        <v>195</v>
      </c>
      <c r="B4">
        <v>252.2</v>
      </c>
      <c r="C4">
        <v>127.3</v>
      </c>
      <c r="D4">
        <v>0</v>
      </c>
      <c r="E4">
        <v>166.9</v>
      </c>
      <c r="F4">
        <v>111.1</v>
      </c>
      <c r="G4">
        <v>136.5</v>
      </c>
      <c r="H4">
        <v>72.900000000000006</v>
      </c>
      <c r="I4">
        <v>170.6</v>
      </c>
      <c r="J4">
        <v>112.6</v>
      </c>
      <c r="K4">
        <v>122.8</v>
      </c>
      <c r="L4">
        <v>113.2</v>
      </c>
      <c r="M4">
        <v>202.9</v>
      </c>
      <c r="N4">
        <v>181</v>
      </c>
      <c r="O4">
        <v>4100</v>
      </c>
      <c r="P4">
        <v>59.5</v>
      </c>
      <c r="Q4">
        <v>20.2</v>
      </c>
      <c r="R4">
        <v>74.5</v>
      </c>
    </row>
    <row r="5" spans="1:18" x14ac:dyDescent="0.3">
      <c r="A5" t="s">
        <v>208</v>
      </c>
      <c r="B5">
        <v>17.399999999999999</v>
      </c>
      <c r="C5">
        <v>46.8</v>
      </c>
      <c r="D5">
        <v>166.9</v>
      </c>
      <c r="E5">
        <v>0</v>
      </c>
      <c r="F5">
        <v>78.3</v>
      </c>
      <c r="G5">
        <v>56.7</v>
      </c>
      <c r="H5">
        <v>114.8</v>
      </c>
      <c r="I5">
        <v>282.7</v>
      </c>
      <c r="J5">
        <v>227.2</v>
      </c>
      <c r="K5">
        <v>168.1</v>
      </c>
      <c r="L5">
        <v>149.5</v>
      </c>
      <c r="M5">
        <v>137</v>
      </c>
      <c r="N5">
        <v>115.1</v>
      </c>
      <c r="O5">
        <v>199</v>
      </c>
      <c r="P5">
        <v>173.9</v>
      </c>
      <c r="Q5">
        <v>149.5</v>
      </c>
      <c r="R5">
        <v>129.30000000000001</v>
      </c>
    </row>
    <row r="6" spans="1:18" x14ac:dyDescent="0.3">
      <c r="A6" t="s">
        <v>127</v>
      </c>
      <c r="B6">
        <v>79.8</v>
      </c>
      <c r="C6">
        <v>83.4</v>
      </c>
      <c r="D6">
        <v>111.1</v>
      </c>
      <c r="E6">
        <v>78.3</v>
      </c>
      <c r="F6">
        <v>0</v>
      </c>
      <c r="G6">
        <v>54.3</v>
      </c>
      <c r="H6">
        <v>53.3</v>
      </c>
      <c r="I6">
        <v>227.6</v>
      </c>
      <c r="J6">
        <v>219.6</v>
      </c>
      <c r="K6">
        <v>197.1</v>
      </c>
      <c r="L6">
        <v>178.5</v>
      </c>
      <c r="M6">
        <v>166</v>
      </c>
      <c r="N6">
        <v>144.1</v>
      </c>
      <c r="O6">
        <v>191.5</v>
      </c>
      <c r="P6">
        <v>166.5</v>
      </c>
      <c r="Q6">
        <v>108.7</v>
      </c>
      <c r="R6">
        <v>31.6</v>
      </c>
    </row>
    <row r="7" spans="1:18" x14ac:dyDescent="0.3">
      <c r="A7" t="s">
        <v>151</v>
      </c>
      <c r="B7">
        <v>47.1</v>
      </c>
      <c r="C7">
        <v>99.2</v>
      </c>
      <c r="D7">
        <v>136.5</v>
      </c>
      <c r="E7">
        <v>56.7</v>
      </c>
      <c r="F7">
        <v>54.3</v>
      </c>
      <c r="G7">
        <v>0</v>
      </c>
      <c r="H7">
        <v>64.3</v>
      </c>
      <c r="I7">
        <v>299.5</v>
      </c>
      <c r="J7">
        <v>241.5</v>
      </c>
      <c r="K7">
        <v>216.3</v>
      </c>
      <c r="L7">
        <v>197.7</v>
      </c>
      <c r="M7">
        <v>186.5</v>
      </c>
      <c r="N7">
        <v>164.6</v>
      </c>
      <c r="O7">
        <v>213.4</v>
      </c>
      <c r="P7">
        <v>188.4</v>
      </c>
      <c r="Q7">
        <v>95.1</v>
      </c>
      <c r="R7">
        <v>95.1</v>
      </c>
    </row>
    <row r="8" spans="1:18" x14ac:dyDescent="0.3">
      <c r="A8" t="s">
        <v>230</v>
      </c>
      <c r="B8">
        <v>108</v>
      </c>
      <c r="C8">
        <v>111</v>
      </c>
      <c r="D8">
        <v>72.900000000000006</v>
      </c>
      <c r="E8">
        <v>114.8</v>
      </c>
      <c r="F8">
        <v>53.3</v>
      </c>
      <c r="G8">
        <v>64.3</v>
      </c>
      <c r="H8">
        <v>0</v>
      </c>
      <c r="I8">
        <v>236.8</v>
      </c>
      <c r="J8">
        <v>178.8</v>
      </c>
      <c r="K8">
        <v>189</v>
      </c>
      <c r="L8">
        <v>191.5</v>
      </c>
      <c r="M8">
        <v>261.10000000000002</v>
      </c>
      <c r="N8">
        <v>247.2</v>
      </c>
      <c r="O8">
        <v>150.69999999999999</v>
      </c>
      <c r="P8">
        <v>125.7</v>
      </c>
      <c r="Q8">
        <v>96.4</v>
      </c>
      <c r="R8">
        <v>29.3</v>
      </c>
    </row>
    <row r="9" spans="1:18" x14ac:dyDescent="0.3">
      <c r="A9" t="s">
        <v>278</v>
      </c>
      <c r="B9">
        <v>292.60000000000002</v>
      </c>
      <c r="C9">
        <v>243.3</v>
      </c>
      <c r="D9">
        <v>170.6</v>
      </c>
      <c r="E9">
        <v>282.7</v>
      </c>
      <c r="F9">
        <v>227.6</v>
      </c>
      <c r="G9">
        <v>299.5</v>
      </c>
      <c r="H9">
        <v>236.8</v>
      </c>
      <c r="I9">
        <v>0</v>
      </c>
      <c r="J9">
        <v>60.6</v>
      </c>
      <c r="K9">
        <v>252</v>
      </c>
      <c r="L9">
        <v>166.4</v>
      </c>
      <c r="M9">
        <v>244</v>
      </c>
      <c r="N9">
        <v>222.1</v>
      </c>
      <c r="O9">
        <v>77.5</v>
      </c>
      <c r="P9">
        <v>124.5</v>
      </c>
      <c r="Q9">
        <v>147.30000000000001</v>
      </c>
      <c r="R9">
        <v>252</v>
      </c>
    </row>
    <row r="10" spans="1:18" x14ac:dyDescent="0.3">
      <c r="A10" t="s">
        <v>252</v>
      </c>
      <c r="B10">
        <v>237.1</v>
      </c>
      <c r="C10">
        <v>187.8</v>
      </c>
      <c r="D10">
        <v>112.6</v>
      </c>
      <c r="E10">
        <v>227.2</v>
      </c>
      <c r="F10">
        <v>219.6</v>
      </c>
      <c r="G10">
        <v>241.5</v>
      </c>
      <c r="H10">
        <v>178.8</v>
      </c>
      <c r="I10">
        <v>60.6</v>
      </c>
      <c r="J10">
        <v>0</v>
      </c>
      <c r="K10">
        <v>43.4</v>
      </c>
      <c r="L10">
        <v>71.2</v>
      </c>
      <c r="M10">
        <v>122.3</v>
      </c>
      <c r="N10">
        <v>113.3</v>
      </c>
      <c r="O10">
        <v>30.4</v>
      </c>
      <c r="P10">
        <v>66.8</v>
      </c>
      <c r="Q10">
        <v>89.6</v>
      </c>
      <c r="R10">
        <v>194.3</v>
      </c>
    </row>
    <row r="11" spans="1:18" x14ac:dyDescent="0.3">
      <c r="A11" t="s">
        <v>291</v>
      </c>
      <c r="B11">
        <v>177.6</v>
      </c>
      <c r="C11">
        <v>128.69999999999999</v>
      </c>
      <c r="D11">
        <v>122.8</v>
      </c>
      <c r="E11">
        <v>168.1</v>
      </c>
      <c r="F11">
        <v>197.1</v>
      </c>
      <c r="G11">
        <v>216.3</v>
      </c>
      <c r="H11">
        <v>189</v>
      </c>
      <c r="I11">
        <v>252</v>
      </c>
      <c r="J11">
        <v>43.4</v>
      </c>
      <c r="K11">
        <v>0</v>
      </c>
      <c r="L11">
        <v>31.6</v>
      </c>
      <c r="M11">
        <v>75.599999999999994</v>
      </c>
      <c r="N11">
        <v>67.099999999999994</v>
      </c>
      <c r="O11">
        <v>43.8</v>
      </c>
      <c r="P11">
        <v>64</v>
      </c>
      <c r="Q11">
        <v>99.4</v>
      </c>
      <c r="R11">
        <v>155.5</v>
      </c>
    </row>
    <row r="12" spans="1:18" x14ac:dyDescent="0.3">
      <c r="A12" t="s">
        <v>265</v>
      </c>
      <c r="B12">
        <v>159.4</v>
      </c>
      <c r="C12">
        <v>110.1</v>
      </c>
      <c r="D12">
        <v>113.2</v>
      </c>
      <c r="E12">
        <v>149.5</v>
      </c>
      <c r="F12">
        <v>178.5</v>
      </c>
      <c r="G12">
        <v>197.7</v>
      </c>
      <c r="H12">
        <v>191.5</v>
      </c>
      <c r="I12">
        <v>166.4</v>
      </c>
      <c r="J12">
        <v>71.2</v>
      </c>
      <c r="K12">
        <v>31.6</v>
      </c>
      <c r="L12">
        <v>0</v>
      </c>
      <c r="M12">
        <v>75.599999999999994</v>
      </c>
      <c r="N12">
        <v>67.099999999999994</v>
      </c>
      <c r="O12">
        <v>43.8</v>
      </c>
      <c r="P12">
        <v>64</v>
      </c>
      <c r="Q12">
        <v>99.4</v>
      </c>
      <c r="R12">
        <v>155.5</v>
      </c>
    </row>
    <row r="13" spans="1:18" x14ac:dyDescent="0.3">
      <c r="A13" t="s">
        <v>184</v>
      </c>
      <c r="B13">
        <v>147</v>
      </c>
      <c r="C13">
        <v>97.6</v>
      </c>
      <c r="D13">
        <v>202.9</v>
      </c>
      <c r="E13">
        <v>137</v>
      </c>
      <c r="F13">
        <v>166</v>
      </c>
      <c r="G13">
        <v>186.5</v>
      </c>
      <c r="H13">
        <v>261.10000000000002</v>
      </c>
      <c r="I13">
        <v>244</v>
      </c>
      <c r="J13">
        <v>122.3</v>
      </c>
      <c r="K13">
        <v>75.599999999999994</v>
      </c>
      <c r="L13">
        <v>75.599999999999994</v>
      </c>
      <c r="M13">
        <v>0</v>
      </c>
      <c r="N13">
        <v>25.1</v>
      </c>
      <c r="O13">
        <v>136.9</v>
      </c>
      <c r="P13">
        <v>109.6</v>
      </c>
      <c r="Q13">
        <v>178.4</v>
      </c>
      <c r="R13">
        <v>175.3</v>
      </c>
    </row>
    <row r="14" spans="1:18" x14ac:dyDescent="0.3">
      <c r="A14" t="s">
        <v>219</v>
      </c>
      <c r="B14">
        <v>119.3</v>
      </c>
      <c r="C14">
        <v>75.7</v>
      </c>
      <c r="D14">
        <v>181</v>
      </c>
      <c r="E14">
        <v>115.1</v>
      </c>
      <c r="F14">
        <v>144.1</v>
      </c>
      <c r="G14">
        <v>164.6</v>
      </c>
      <c r="H14">
        <v>247.2</v>
      </c>
      <c r="I14">
        <v>222.1</v>
      </c>
      <c r="J14">
        <v>113.3</v>
      </c>
      <c r="K14">
        <v>67.099999999999994</v>
      </c>
      <c r="L14">
        <v>67.099999999999994</v>
      </c>
      <c r="M14">
        <v>25.1</v>
      </c>
      <c r="N14">
        <v>0</v>
      </c>
      <c r="O14">
        <v>137.9</v>
      </c>
      <c r="P14">
        <v>112.8</v>
      </c>
      <c r="Q14">
        <v>157.4</v>
      </c>
      <c r="R14">
        <v>128.6</v>
      </c>
    </row>
    <row r="15" spans="1:18" x14ac:dyDescent="0.3">
      <c r="A15" t="s">
        <v>164</v>
      </c>
      <c r="B15">
        <v>209</v>
      </c>
      <c r="C15">
        <v>159.69999999999999</v>
      </c>
      <c r="D15">
        <v>4100</v>
      </c>
      <c r="E15">
        <v>199</v>
      </c>
      <c r="F15">
        <v>191.5</v>
      </c>
      <c r="G15">
        <v>213.4</v>
      </c>
      <c r="H15">
        <v>150.69999999999999</v>
      </c>
      <c r="I15">
        <v>77.5</v>
      </c>
      <c r="J15">
        <v>30.4</v>
      </c>
      <c r="K15">
        <v>43.8</v>
      </c>
      <c r="L15">
        <v>43.8</v>
      </c>
      <c r="M15">
        <v>136.9</v>
      </c>
      <c r="N15">
        <v>137.9</v>
      </c>
      <c r="O15">
        <v>0</v>
      </c>
      <c r="P15">
        <v>37.6</v>
      </c>
      <c r="Q15">
        <v>60.4</v>
      </c>
      <c r="R15">
        <v>116.2</v>
      </c>
    </row>
    <row r="16" spans="1:18" x14ac:dyDescent="0.3">
      <c r="A16" t="s">
        <v>173</v>
      </c>
      <c r="B16">
        <v>183.9</v>
      </c>
      <c r="C16">
        <v>134.5</v>
      </c>
      <c r="D16">
        <v>59.5</v>
      </c>
      <c r="E16">
        <v>173.9</v>
      </c>
      <c r="F16">
        <v>166.5</v>
      </c>
      <c r="G16">
        <v>188.4</v>
      </c>
      <c r="H16">
        <v>125.7</v>
      </c>
      <c r="I16">
        <v>124.5</v>
      </c>
      <c r="J16">
        <v>66.8</v>
      </c>
      <c r="K16">
        <v>64</v>
      </c>
      <c r="L16">
        <v>64</v>
      </c>
      <c r="M16">
        <v>109.6</v>
      </c>
      <c r="N16">
        <v>112.8</v>
      </c>
      <c r="O16">
        <v>37.6</v>
      </c>
      <c r="P16">
        <v>0</v>
      </c>
      <c r="Q16">
        <v>32.799999999999997</v>
      </c>
      <c r="R16">
        <v>90.5</v>
      </c>
    </row>
    <row r="17" spans="1:18" x14ac:dyDescent="0.3">
      <c r="A17" t="s">
        <v>138</v>
      </c>
      <c r="B17">
        <v>159.5</v>
      </c>
      <c r="C17">
        <v>110.1</v>
      </c>
      <c r="D17">
        <v>20.2</v>
      </c>
      <c r="E17">
        <v>149.5</v>
      </c>
      <c r="F17">
        <v>108.7</v>
      </c>
      <c r="G17">
        <v>95.1</v>
      </c>
      <c r="H17">
        <v>96.4</v>
      </c>
      <c r="I17">
        <v>147.30000000000001</v>
      </c>
      <c r="J17">
        <v>89.6</v>
      </c>
      <c r="K17">
        <v>99.4</v>
      </c>
      <c r="L17">
        <v>99.4</v>
      </c>
      <c r="M17">
        <v>178.4</v>
      </c>
      <c r="N17">
        <v>157.4</v>
      </c>
      <c r="O17">
        <v>60.4</v>
      </c>
      <c r="P17">
        <v>32.799999999999997</v>
      </c>
      <c r="Q17">
        <v>0</v>
      </c>
      <c r="R17">
        <v>56.3</v>
      </c>
    </row>
    <row r="18" spans="1:18" x14ac:dyDescent="0.3">
      <c r="A18" t="s">
        <v>302</v>
      </c>
      <c r="B18">
        <v>139.30000000000001</v>
      </c>
      <c r="C18">
        <v>89.9</v>
      </c>
      <c r="D18">
        <v>74.5</v>
      </c>
      <c r="E18">
        <v>129.30000000000001</v>
      </c>
      <c r="F18">
        <v>31.6</v>
      </c>
      <c r="G18">
        <v>95.1</v>
      </c>
      <c r="H18">
        <v>29.3</v>
      </c>
      <c r="I18">
        <v>252</v>
      </c>
      <c r="J18">
        <v>194.3</v>
      </c>
      <c r="K18">
        <v>155.5</v>
      </c>
      <c r="L18">
        <v>155.5</v>
      </c>
      <c r="M18">
        <v>175.3</v>
      </c>
      <c r="N18">
        <v>128.6</v>
      </c>
      <c r="O18">
        <v>116.2</v>
      </c>
      <c r="P18">
        <v>90.5</v>
      </c>
      <c r="Q18">
        <v>56.3</v>
      </c>
      <c r="R18">
        <v>0</v>
      </c>
    </row>
    <row r="20" spans="1:18" x14ac:dyDescent="0.3">
      <c r="A20" t="s">
        <v>621</v>
      </c>
      <c r="B20" t="s">
        <v>116</v>
      </c>
      <c r="C20" t="s">
        <v>241</v>
      </c>
      <c r="D20" t="s">
        <v>195</v>
      </c>
      <c r="E20" t="s">
        <v>208</v>
      </c>
      <c r="F20" t="s">
        <v>127</v>
      </c>
      <c r="G20" t="s">
        <v>151</v>
      </c>
      <c r="H20" t="s">
        <v>230</v>
      </c>
      <c r="I20" t="s">
        <v>278</v>
      </c>
      <c r="J20" t="s">
        <v>252</v>
      </c>
      <c r="K20" t="s">
        <v>291</v>
      </c>
      <c r="L20" t="s">
        <v>265</v>
      </c>
      <c r="M20" t="s">
        <v>184</v>
      </c>
      <c r="N20" t="s">
        <v>219</v>
      </c>
      <c r="O20" t="s">
        <v>164</v>
      </c>
      <c r="P20" t="s">
        <v>173</v>
      </c>
      <c r="Q20" t="s">
        <v>138</v>
      </c>
      <c r="R20" t="s">
        <v>302</v>
      </c>
    </row>
    <row r="21" spans="1:18" x14ac:dyDescent="0.3">
      <c r="A21" t="s">
        <v>116</v>
      </c>
      <c r="B21">
        <v>0</v>
      </c>
      <c r="C21">
        <v>5364</v>
      </c>
      <c r="D21">
        <v>22698</v>
      </c>
      <c r="E21">
        <v>1566</v>
      </c>
      <c r="F21">
        <v>7182</v>
      </c>
      <c r="G21">
        <v>4239</v>
      </c>
      <c r="H21">
        <v>9720</v>
      </c>
      <c r="I21">
        <v>26334</v>
      </c>
      <c r="J21">
        <v>21339</v>
      </c>
      <c r="K21">
        <v>15984</v>
      </c>
      <c r="L21">
        <v>14346</v>
      </c>
      <c r="M21">
        <v>13230</v>
      </c>
      <c r="N21">
        <v>10737</v>
      </c>
      <c r="O21">
        <v>18810</v>
      </c>
      <c r="P21">
        <v>16551</v>
      </c>
      <c r="Q21">
        <v>14355</v>
      </c>
      <c r="R21">
        <v>12537</v>
      </c>
    </row>
    <row r="22" spans="1:18" x14ac:dyDescent="0.3">
      <c r="A22" t="s">
        <v>241</v>
      </c>
      <c r="B22">
        <v>5364</v>
      </c>
      <c r="C22">
        <v>0</v>
      </c>
      <c r="D22">
        <v>11457</v>
      </c>
      <c r="E22">
        <v>4212</v>
      </c>
      <c r="F22">
        <v>7506</v>
      </c>
      <c r="G22">
        <v>8928</v>
      </c>
      <c r="H22">
        <v>9990</v>
      </c>
      <c r="I22">
        <v>21897</v>
      </c>
      <c r="J22">
        <v>16902</v>
      </c>
      <c r="K22">
        <v>11583</v>
      </c>
      <c r="L22">
        <v>9909</v>
      </c>
      <c r="M22">
        <v>8784</v>
      </c>
      <c r="N22">
        <v>6813</v>
      </c>
      <c r="O22">
        <v>14373</v>
      </c>
      <c r="P22">
        <v>12105</v>
      </c>
      <c r="Q22">
        <v>9909</v>
      </c>
      <c r="R22">
        <v>8091</v>
      </c>
    </row>
    <row r="23" spans="1:18" x14ac:dyDescent="0.3">
      <c r="A23" t="s">
        <v>195</v>
      </c>
      <c r="B23">
        <v>22698</v>
      </c>
      <c r="C23">
        <v>11457</v>
      </c>
      <c r="D23">
        <v>0</v>
      </c>
      <c r="E23">
        <v>15021</v>
      </c>
      <c r="F23">
        <v>9999</v>
      </c>
      <c r="G23">
        <v>12285</v>
      </c>
      <c r="H23">
        <v>6561</v>
      </c>
      <c r="I23">
        <v>15354</v>
      </c>
      <c r="J23">
        <v>10134</v>
      </c>
      <c r="K23">
        <v>11052</v>
      </c>
      <c r="L23">
        <v>10188</v>
      </c>
      <c r="M23">
        <v>18261</v>
      </c>
      <c r="N23">
        <v>16290</v>
      </c>
      <c r="O23">
        <v>369000</v>
      </c>
      <c r="P23">
        <v>5355</v>
      </c>
      <c r="Q23">
        <v>1818</v>
      </c>
      <c r="R23">
        <v>6705</v>
      </c>
    </row>
    <row r="24" spans="1:18" x14ac:dyDescent="0.3">
      <c r="A24" t="s">
        <v>208</v>
      </c>
      <c r="B24">
        <v>1566</v>
      </c>
      <c r="C24">
        <v>4212</v>
      </c>
      <c r="D24">
        <v>15021</v>
      </c>
      <c r="E24">
        <v>0</v>
      </c>
      <c r="F24">
        <v>7047</v>
      </c>
      <c r="G24">
        <v>5103</v>
      </c>
      <c r="H24">
        <v>10332</v>
      </c>
      <c r="I24">
        <v>25443</v>
      </c>
      <c r="J24">
        <v>20448</v>
      </c>
      <c r="K24">
        <v>15129</v>
      </c>
      <c r="L24">
        <v>13455</v>
      </c>
      <c r="M24">
        <v>12330</v>
      </c>
      <c r="N24">
        <v>10359</v>
      </c>
      <c r="O24">
        <v>17910</v>
      </c>
      <c r="P24">
        <v>15651</v>
      </c>
      <c r="Q24">
        <v>13455</v>
      </c>
      <c r="R24">
        <v>11637</v>
      </c>
    </row>
    <row r="25" spans="1:18" x14ac:dyDescent="0.3">
      <c r="A25" t="s">
        <v>127</v>
      </c>
      <c r="B25">
        <v>7182</v>
      </c>
      <c r="C25">
        <v>7506</v>
      </c>
      <c r="D25">
        <v>9999</v>
      </c>
      <c r="E25">
        <v>7047</v>
      </c>
      <c r="F25">
        <v>0</v>
      </c>
      <c r="G25">
        <v>4887</v>
      </c>
      <c r="H25">
        <v>4797</v>
      </c>
      <c r="I25">
        <v>20484</v>
      </c>
      <c r="J25">
        <v>19764</v>
      </c>
      <c r="K25">
        <v>17739</v>
      </c>
      <c r="L25">
        <v>16065</v>
      </c>
      <c r="M25">
        <v>14940</v>
      </c>
      <c r="N25">
        <v>12969</v>
      </c>
      <c r="O25">
        <v>17235</v>
      </c>
      <c r="P25">
        <v>14985</v>
      </c>
      <c r="Q25">
        <v>9783</v>
      </c>
      <c r="R25">
        <v>2844</v>
      </c>
    </row>
    <row r="26" spans="1:18" x14ac:dyDescent="0.3">
      <c r="A26" t="s">
        <v>151</v>
      </c>
      <c r="B26">
        <v>4239</v>
      </c>
      <c r="C26">
        <v>8928</v>
      </c>
      <c r="D26">
        <v>12285</v>
      </c>
      <c r="E26">
        <v>5103</v>
      </c>
      <c r="F26">
        <v>4887</v>
      </c>
      <c r="G26">
        <v>0</v>
      </c>
      <c r="H26">
        <v>5787</v>
      </c>
      <c r="I26">
        <v>26955</v>
      </c>
      <c r="J26">
        <v>21735</v>
      </c>
      <c r="K26">
        <v>19467</v>
      </c>
      <c r="L26">
        <v>17793</v>
      </c>
      <c r="M26">
        <v>16785</v>
      </c>
      <c r="N26">
        <v>14814</v>
      </c>
      <c r="O26">
        <v>19206</v>
      </c>
      <c r="P26">
        <v>16956</v>
      </c>
      <c r="Q26">
        <v>8559</v>
      </c>
      <c r="R26">
        <v>8559</v>
      </c>
    </row>
    <row r="27" spans="1:18" x14ac:dyDescent="0.3">
      <c r="A27" t="s">
        <v>230</v>
      </c>
      <c r="B27">
        <v>9720</v>
      </c>
      <c r="C27">
        <v>9990</v>
      </c>
      <c r="D27">
        <v>6561</v>
      </c>
      <c r="E27">
        <v>10332</v>
      </c>
      <c r="F27">
        <v>4797</v>
      </c>
      <c r="G27">
        <v>5787</v>
      </c>
      <c r="H27">
        <v>0</v>
      </c>
      <c r="I27">
        <v>21312</v>
      </c>
      <c r="J27">
        <v>16092</v>
      </c>
      <c r="K27">
        <v>17010</v>
      </c>
      <c r="L27">
        <v>17235</v>
      </c>
      <c r="M27">
        <v>23499</v>
      </c>
      <c r="N27">
        <v>22248</v>
      </c>
      <c r="O27">
        <v>13563</v>
      </c>
      <c r="P27">
        <v>11313</v>
      </c>
      <c r="Q27">
        <v>8676</v>
      </c>
      <c r="R27">
        <v>2637</v>
      </c>
    </row>
    <row r="28" spans="1:18" x14ac:dyDescent="0.3">
      <c r="A28" t="s">
        <v>278</v>
      </c>
      <c r="B28">
        <v>26334</v>
      </c>
      <c r="C28">
        <v>21897</v>
      </c>
      <c r="D28">
        <v>15354</v>
      </c>
      <c r="E28">
        <v>25443</v>
      </c>
      <c r="F28">
        <v>20484</v>
      </c>
      <c r="G28">
        <v>26955</v>
      </c>
      <c r="H28">
        <v>21312</v>
      </c>
      <c r="I28">
        <v>0</v>
      </c>
      <c r="J28">
        <v>5454</v>
      </c>
      <c r="K28">
        <v>22680</v>
      </c>
      <c r="L28">
        <v>14976</v>
      </c>
      <c r="M28">
        <v>21960</v>
      </c>
      <c r="N28">
        <v>19989</v>
      </c>
      <c r="O28">
        <v>6975</v>
      </c>
      <c r="P28">
        <v>11205</v>
      </c>
      <c r="Q28">
        <v>13257</v>
      </c>
      <c r="R28">
        <v>22680</v>
      </c>
    </row>
    <row r="29" spans="1:18" x14ac:dyDescent="0.3">
      <c r="A29" t="s">
        <v>252</v>
      </c>
      <c r="B29">
        <v>21339</v>
      </c>
      <c r="C29">
        <v>16902</v>
      </c>
      <c r="D29">
        <v>10134</v>
      </c>
      <c r="E29">
        <v>20448</v>
      </c>
      <c r="F29">
        <v>19764</v>
      </c>
      <c r="G29">
        <v>21735</v>
      </c>
      <c r="H29">
        <v>16092</v>
      </c>
      <c r="I29">
        <v>5454</v>
      </c>
      <c r="J29">
        <v>0</v>
      </c>
      <c r="K29">
        <v>3906</v>
      </c>
      <c r="L29">
        <v>6408</v>
      </c>
      <c r="M29">
        <v>11007</v>
      </c>
      <c r="N29">
        <v>10197</v>
      </c>
      <c r="O29">
        <v>2736</v>
      </c>
      <c r="P29">
        <v>6012</v>
      </c>
      <c r="Q29">
        <v>8064</v>
      </c>
      <c r="R29">
        <v>17487</v>
      </c>
    </row>
    <row r="30" spans="1:18" x14ac:dyDescent="0.3">
      <c r="A30" t="s">
        <v>291</v>
      </c>
      <c r="B30">
        <v>15984</v>
      </c>
      <c r="C30">
        <v>11583</v>
      </c>
      <c r="D30">
        <v>11052</v>
      </c>
      <c r="E30">
        <v>15129</v>
      </c>
      <c r="F30">
        <v>17739</v>
      </c>
      <c r="G30">
        <v>19467</v>
      </c>
      <c r="H30">
        <v>17010</v>
      </c>
      <c r="I30">
        <v>22680</v>
      </c>
      <c r="J30">
        <v>3906</v>
      </c>
      <c r="K30">
        <v>0</v>
      </c>
      <c r="L30">
        <v>2844</v>
      </c>
      <c r="M30">
        <v>6804</v>
      </c>
      <c r="N30">
        <v>6039</v>
      </c>
      <c r="O30">
        <v>3942</v>
      </c>
      <c r="P30">
        <v>5760</v>
      </c>
      <c r="Q30">
        <v>8946</v>
      </c>
      <c r="R30">
        <v>13995</v>
      </c>
    </row>
    <row r="31" spans="1:18" x14ac:dyDescent="0.3">
      <c r="A31" t="s">
        <v>265</v>
      </c>
      <c r="B31">
        <v>14346</v>
      </c>
      <c r="C31">
        <v>9909</v>
      </c>
      <c r="D31">
        <v>10188</v>
      </c>
      <c r="E31">
        <v>13455</v>
      </c>
      <c r="F31">
        <v>16065</v>
      </c>
      <c r="G31">
        <v>17793</v>
      </c>
      <c r="H31">
        <v>17235</v>
      </c>
      <c r="I31">
        <v>14976</v>
      </c>
      <c r="J31">
        <v>6408</v>
      </c>
      <c r="K31">
        <v>2844</v>
      </c>
      <c r="L31">
        <v>0</v>
      </c>
      <c r="M31">
        <v>6804</v>
      </c>
      <c r="N31">
        <v>6039</v>
      </c>
      <c r="O31">
        <v>3942</v>
      </c>
      <c r="P31">
        <v>5760</v>
      </c>
      <c r="Q31">
        <v>8946</v>
      </c>
      <c r="R31">
        <v>13995</v>
      </c>
    </row>
    <row r="32" spans="1:18" x14ac:dyDescent="0.3">
      <c r="A32" t="s">
        <v>184</v>
      </c>
      <c r="B32">
        <v>13230</v>
      </c>
      <c r="C32">
        <v>8784</v>
      </c>
      <c r="D32">
        <v>18261</v>
      </c>
      <c r="E32">
        <v>12330</v>
      </c>
      <c r="F32">
        <v>14940</v>
      </c>
      <c r="G32">
        <v>16785</v>
      </c>
      <c r="H32">
        <v>23499</v>
      </c>
      <c r="I32">
        <v>21960</v>
      </c>
      <c r="J32">
        <v>11007</v>
      </c>
      <c r="K32">
        <v>6804</v>
      </c>
      <c r="L32">
        <v>6804</v>
      </c>
      <c r="M32">
        <v>0</v>
      </c>
      <c r="N32">
        <v>2259</v>
      </c>
      <c r="O32">
        <v>12321</v>
      </c>
      <c r="P32">
        <v>9864</v>
      </c>
      <c r="Q32">
        <v>16056</v>
      </c>
      <c r="R32">
        <v>15777</v>
      </c>
    </row>
    <row r="33" spans="1:18" x14ac:dyDescent="0.3">
      <c r="A33" t="s">
        <v>219</v>
      </c>
      <c r="B33">
        <v>10737</v>
      </c>
      <c r="C33">
        <v>6813</v>
      </c>
      <c r="D33">
        <v>16290</v>
      </c>
      <c r="E33">
        <v>10359</v>
      </c>
      <c r="F33">
        <v>12969</v>
      </c>
      <c r="G33">
        <v>14814</v>
      </c>
      <c r="H33">
        <v>22248</v>
      </c>
      <c r="I33">
        <v>19989</v>
      </c>
      <c r="J33">
        <v>10197</v>
      </c>
      <c r="K33">
        <v>6039</v>
      </c>
      <c r="L33">
        <v>6039</v>
      </c>
      <c r="M33">
        <v>2259</v>
      </c>
      <c r="N33">
        <v>0</v>
      </c>
      <c r="O33">
        <v>12411</v>
      </c>
      <c r="P33">
        <v>10152</v>
      </c>
      <c r="Q33">
        <v>14166</v>
      </c>
      <c r="R33">
        <v>11574</v>
      </c>
    </row>
    <row r="34" spans="1:18" x14ac:dyDescent="0.3">
      <c r="A34" t="s">
        <v>164</v>
      </c>
      <c r="B34">
        <v>18810</v>
      </c>
      <c r="C34">
        <v>14373</v>
      </c>
      <c r="D34">
        <v>369000</v>
      </c>
      <c r="E34">
        <v>17910</v>
      </c>
      <c r="F34">
        <v>17235</v>
      </c>
      <c r="G34">
        <v>19206</v>
      </c>
      <c r="H34">
        <v>13563</v>
      </c>
      <c r="I34">
        <v>6975</v>
      </c>
      <c r="J34">
        <v>2736</v>
      </c>
      <c r="K34">
        <v>3942</v>
      </c>
      <c r="L34">
        <v>3942</v>
      </c>
      <c r="M34">
        <v>12321</v>
      </c>
      <c r="N34">
        <v>12411</v>
      </c>
      <c r="O34">
        <v>0</v>
      </c>
      <c r="P34">
        <v>3384</v>
      </c>
      <c r="Q34">
        <v>5436</v>
      </c>
      <c r="R34">
        <v>10458</v>
      </c>
    </row>
    <row r="35" spans="1:18" x14ac:dyDescent="0.3">
      <c r="A35" t="s">
        <v>173</v>
      </c>
      <c r="B35">
        <v>16551</v>
      </c>
      <c r="C35">
        <v>12105</v>
      </c>
      <c r="D35">
        <v>5355</v>
      </c>
      <c r="E35">
        <v>15651</v>
      </c>
      <c r="F35">
        <v>14985</v>
      </c>
      <c r="G35">
        <v>16956</v>
      </c>
      <c r="H35">
        <v>11313</v>
      </c>
      <c r="I35">
        <v>11205</v>
      </c>
      <c r="J35">
        <v>6012</v>
      </c>
      <c r="K35">
        <v>5760</v>
      </c>
      <c r="L35">
        <v>5760</v>
      </c>
      <c r="M35">
        <v>9864</v>
      </c>
      <c r="N35">
        <v>10152</v>
      </c>
      <c r="O35">
        <v>3384</v>
      </c>
      <c r="P35">
        <v>0</v>
      </c>
      <c r="Q35">
        <v>2952</v>
      </c>
      <c r="R35">
        <v>8145</v>
      </c>
    </row>
    <row r="36" spans="1:18" x14ac:dyDescent="0.3">
      <c r="A36" t="s">
        <v>138</v>
      </c>
      <c r="B36">
        <v>14355</v>
      </c>
      <c r="C36">
        <v>9909</v>
      </c>
      <c r="D36">
        <v>1818</v>
      </c>
      <c r="E36">
        <v>13455</v>
      </c>
      <c r="F36">
        <v>9783</v>
      </c>
      <c r="G36">
        <v>8559</v>
      </c>
      <c r="H36">
        <v>8676</v>
      </c>
      <c r="I36">
        <v>13257</v>
      </c>
      <c r="J36">
        <v>8064</v>
      </c>
      <c r="K36">
        <v>8946</v>
      </c>
      <c r="L36">
        <v>8946</v>
      </c>
      <c r="M36">
        <v>16056</v>
      </c>
      <c r="N36">
        <v>14166</v>
      </c>
      <c r="O36">
        <v>5436</v>
      </c>
      <c r="P36">
        <v>2952</v>
      </c>
      <c r="Q36">
        <v>0</v>
      </c>
      <c r="R36">
        <v>5067</v>
      </c>
    </row>
    <row r="37" spans="1:18" x14ac:dyDescent="0.3">
      <c r="A37" t="s">
        <v>302</v>
      </c>
      <c r="B37">
        <v>12537</v>
      </c>
      <c r="C37">
        <v>8091</v>
      </c>
      <c r="D37">
        <v>6705</v>
      </c>
      <c r="E37">
        <v>11637</v>
      </c>
      <c r="F37">
        <v>2844</v>
      </c>
      <c r="G37">
        <v>8559</v>
      </c>
      <c r="H37">
        <v>2637</v>
      </c>
      <c r="I37">
        <v>22680</v>
      </c>
      <c r="J37">
        <v>17487</v>
      </c>
      <c r="K37">
        <v>13995</v>
      </c>
      <c r="L37">
        <v>13995</v>
      </c>
      <c r="M37">
        <v>15777</v>
      </c>
      <c r="N37">
        <v>11574</v>
      </c>
      <c r="O37">
        <v>10458</v>
      </c>
      <c r="P37">
        <v>8145</v>
      </c>
      <c r="Q37">
        <v>5067</v>
      </c>
      <c r="R37">
        <v>0</v>
      </c>
    </row>
    <row r="39" spans="1:18" x14ac:dyDescent="0.3">
      <c r="A39" t="s">
        <v>622</v>
      </c>
      <c r="B39" t="s">
        <v>116</v>
      </c>
      <c r="C39" t="s">
        <v>241</v>
      </c>
      <c r="D39" t="s">
        <v>195</v>
      </c>
      <c r="E39" t="s">
        <v>208</v>
      </c>
      <c r="F39" t="s">
        <v>127</v>
      </c>
      <c r="G39" t="s">
        <v>151</v>
      </c>
      <c r="H39" t="s">
        <v>230</v>
      </c>
      <c r="I39" t="s">
        <v>278</v>
      </c>
      <c r="J39" t="s">
        <v>252</v>
      </c>
      <c r="K39" t="s">
        <v>291</v>
      </c>
      <c r="L39" t="s">
        <v>265</v>
      </c>
      <c r="M39" t="s">
        <v>184</v>
      </c>
      <c r="N39" t="s">
        <v>219</v>
      </c>
      <c r="O39" t="s">
        <v>164</v>
      </c>
      <c r="P39" t="s">
        <v>173</v>
      </c>
      <c r="Q39" t="s">
        <v>138</v>
      </c>
      <c r="R39" t="s">
        <v>302</v>
      </c>
    </row>
    <row r="40" spans="1:18" x14ac:dyDescent="0.3">
      <c r="A40" t="s">
        <v>116</v>
      </c>
      <c r="B40">
        <v>0</v>
      </c>
      <c r="C40">
        <v>3000</v>
      </c>
      <c r="D40">
        <v>12600</v>
      </c>
      <c r="E40">
        <v>900</v>
      </c>
      <c r="F40">
        <v>4000</v>
      </c>
      <c r="G40">
        <v>2400</v>
      </c>
      <c r="H40">
        <v>5400</v>
      </c>
      <c r="I40">
        <v>14600</v>
      </c>
      <c r="J40">
        <v>11900</v>
      </c>
      <c r="K40">
        <v>8900</v>
      </c>
      <c r="L40">
        <v>8000</v>
      </c>
      <c r="M40">
        <v>7400</v>
      </c>
      <c r="N40">
        <v>6000</v>
      </c>
      <c r="O40">
        <v>12500</v>
      </c>
      <c r="P40">
        <v>9200</v>
      </c>
      <c r="Q40">
        <v>8000</v>
      </c>
      <c r="R40">
        <v>7000</v>
      </c>
    </row>
    <row r="41" spans="1:18" x14ac:dyDescent="0.3">
      <c r="A41" t="s">
        <v>241</v>
      </c>
      <c r="B41">
        <v>3000</v>
      </c>
      <c r="C41">
        <v>0</v>
      </c>
      <c r="D41">
        <v>6400</v>
      </c>
      <c r="E41">
        <v>0</v>
      </c>
      <c r="F41">
        <v>4200</v>
      </c>
      <c r="G41">
        <v>5000</v>
      </c>
      <c r="H41">
        <v>5600</v>
      </c>
      <c r="I41">
        <v>12200</v>
      </c>
      <c r="J41">
        <v>9400</v>
      </c>
      <c r="K41">
        <v>6400</v>
      </c>
      <c r="L41">
        <v>5500</v>
      </c>
      <c r="M41">
        <v>4900</v>
      </c>
      <c r="N41">
        <v>3800</v>
      </c>
      <c r="O41">
        <v>8000</v>
      </c>
      <c r="P41">
        <v>6700</v>
      </c>
      <c r="Q41">
        <v>5500</v>
      </c>
      <c r="R41">
        <v>4500</v>
      </c>
    </row>
    <row r="42" spans="1:18" x14ac:dyDescent="0.3">
      <c r="A42" t="s">
        <v>195</v>
      </c>
      <c r="B42">
        <v>12600</v>
      </c>
      <c r="C42">
        <v>6400</v>
      </c>
      <c r="D42">
        <v>0</v>
      </c>
      <c r="E42">
        <v>8300</v>
      </c>
      <c r="F42">
        <v>5600</v>
      </c>
      <c r="G42">
        <v>6800</v>
      </c>
      <c r="H42">
        <v>3600</v>
      </c>
      <c r="I42">
        <v>8500</v>
      </c>
      <c r="J42">
        <v>5600</v>
      </c>
      <c r="K42">
        <v>6100</v>
      </c>
      <c r="L42">
        <v>5700</v>
      </c>
      <c r="M42">
        <v>10100</v>
      </c>
      <c r="N42">
        <v>9100</v>
      </c>
      <c r="O42">
        <v>10000</v>
      </c>
      <c r="P42">
        <v>3000</v>
      </c>
      <c r="Q42">
        <v>1000</v>
      </c>
      <c r="R42">
        <v>3700</v>
      </c>
    </row>
    <row r="43" spans="1:18" x14ac:dyDescent="0.3">
      <c r="A43" t="s">
        <v>208</v>
      </c>
      <c r="B43">
        <v>900</v>
      </c>
      <c r="C43">
        <v>0</v>
      </c>
      <c r="D43">
        <v>8300</v>
      </c>
      <c r="E43">
        <v>0</v>
      </c>
      <c r="F43">
        <v>3900</v>
      </c>
      <c r="G43">
        <v>2800</v>
      </c>
      <c r="H43">
        <v>5700</v>
      </c>
      <c r="I43">
        <v>14100</v>
      </c>
      <c r="J43">
        <v>11400</v>
      </c>
      <c r="K43">
        <v>8400</v>
      </c>
      <c r="L43">
        <v>7500</v>
      </c>
      <c r="M43">
        <v>6900</v>
      </c>
      <c r="N43">
        <v>5800</v>
      </c>
      <c r="O43">
        <v>10000</v>
      </c>
      <c r="P43">
        <v>8700</v>
      </c>
      <c r="Q43">
        <v>7500</v>
      </c>
      <c r="R43">
        <v>6500</v>
      </c>
    </row>
    <row r="44" spans="1:18" x14ac:dyDescent="0.3">
      <c r="A44" t="s">
        <v>127</v>
      </c>
      <c r="B44">
        <v>4000</v>
      </c>
      <c r="C44">
        <v>4200</v>
      </c>
      <c r="D44">
        <v>5600</v>
      </c>
      <c r="E44">
        <v>3900</v>
      </c>
      <c r="F44">
        <v>0</v>
      </c>
      <c r="G44">
        <v>2700</v>
      </c>
      <c r="H44">
        <v>2700</v>
      </c>
      <c r="I44">
        <v>11400</v>
      </c>
      <c r="J44">
        <v>11000</v>
      </c>
      <c r="K44">
        <v>9900</v>
      </c>
      <c r="L44">
        <v>8900</v>
      </c>
      <c r="M44">
        <v>8300</v>
      </c>
      <c r="N44">
        <v>7200</v>
      </c>
      <c r="O44">
        <v>9600</v>
      </c>
      <c r="P44">
        <v>8300</v>
      </c>
      <c r="Q44">
        <v>5400</v>
      </c>
      <c r="R44">
        <v>1600</v>
      </c>
    </row>
    <row r="45" spans="1:18" x14ac:dyDescent="0.3">
      <c r="A45" t="s">
        <v>151</v>
      </c>
      <c r="B45">
        <v>2400</v>
      </c>
      <c r="C45">
        <v>5000</v>
      </c>
      <c r="D45">
        <v>6800</v>
      </c>
      <c r="E45">
        <v>2800</v>
      </c>
      <c r="F45">
        <v>2700</v>
      </c>
      <c r="G45">
        <v>0</v>
      </c>
      <c r="H45">
        <v>3200</v>
      </c>
      <c r="I45">
        <v>15000</v>
      </c>
      <c r="J45">
        <v>12100</v>
      </c>
      <c r="K45">
        <v>10800</v>
      </c>
      <c r="L45">
        <v>9900</v>
      </c>
      <c r="M45">
        <v>9300</v>
      </c>
      <c r="N45">
        <v>8200</v>
      </c>
      <c r="O45">
        <v>10700</v>
      </c>
      <c r="P45">
        <v>9400</v>
      </c>
      <c r="Q45">
        <v>4800</v>
      </c>
      <c r="R45">
        <v>4800</v>
      </c>
    </row>
    <row r="46" spans="1:18" x14ac:dyDescent="0.3">
      <c r="A46" t="s">
        <v>230</v>
      </c>
      <c r="B46">
        <v>5400</v>
      </c>
      <c r="C46">
        <v>5600</v>
      </c>
      <c r="D46">
        <v>3600</v>
      </c>
      <c r="E46">
        <v>5700</v>
      </c>
      <c r="F46">
        <v>2700</v>
      </c>
      <c r="G46">
        <v>3200</v>
      </c>
      <c r="H46">
        <v>0</v>
      </c>
      <c r="I46">
        <v>11800</v>
      </c>
      <c r="J46">
        <v>8900</v>
      </c>
      <c r="K46">
        <v>9500</v>
      </c>
      <c r="L46">
        <v>9600</v>
      </c>
      <c r="M46">
        <v>13100</v>
      </c>
      <c r="N46">
        <v>12400</v>
      </c>
      <c r="O46">
        <v>7500</v>
      </c>
      <c r="P46">
        <v>6300</v>
      </c>
      <c r="Q46">
        <v>4800</v>
      </c>
      <c r="R46">
        <v>1500</v>
      </c>
    </row>
    <row r="47" spans="1:18" x14ac:dyDescent="0.3">
      <c r="A47" t="s">
        <v>278</v>
      </c>
      <c r="B47">
        <v>14600</v>
      </c>
      <c r="C47">
        <v>12200</v>
      </c>
      <c r="D47">
        <v>8500</v>
      </c>
      <c r="E47">
        <v>14100</v>
      </c>
      <c r="F47">
        <v>11400</v>
      </c>
      <c r="G47">
        <v>15000</v>
      </c>
      <c r="H47">
        <v>11800</v>
      </c>
      <c r="I47">
        <v>0</v>
      </c>
      <c r="J47">
        <v>3000</v>
      </c>
      <c r="K47">
        <v>12600</v>
      </c>
      <c r="L47">
        <v>8300</v>
      </c>
      <c r="M47">
        <v>12200</v>
      </c>
      <c r="N47">
        <v>11100</v>
      </c>
      <c r="O47">
        <v>3900</v>
      </c>
      <c r="P47">
        <v>6200</v>
      </c>
      <c r="Q47">
        <v>7400</v>
      </c>
      <c r="R47">
        <v>12600</v>
      </c>
    </row>
    <row r="48" spans="1:18" x14ac:dyDescent="0.3">
      <c r="A48" t="s">
        <v>252</v>
      </c>
      <c r="B48">
        <v>11900</v>
      </c>
      <c r="C48">
        <v>9400</v>
      </c>
      <c r="D48">
        <v>5600</v>
      </c>
      <c r="E48">
        <v>11400</v>
      </c>
      <c r="F48">
        <v>11000</v>
      </c>
      <c r="G48">
        <v>12100</v>
      </c>
      <c r="H48">
        <v>8900</v>
      </c>
      <c r="I48">
        <v>3000</v>
      </c>
      <c r="J48">
        <v>0</v>
      </c>
      <c r="K48">
        <v>2200</v>
      </c>
      <c r="L48">
        <v>3600</v>
      </c>
      <c r="M48">
        <v>6100</v>
      </c>
      <c r="N48">
        <v>5700</v>
      </c>
      <c r="O48">
        <v>1500</v>
      </c>
      <c r="P48">
        <v>3300</v>
      </c>
      <c r="Q48">
        <v>4500</v>
      </c>
      <c r="R48">
        <v>9700</v>
      </c>
    </row>
    <row r="49" spans="1:18" x14ac:dyDescent="0.3">
      <c r="A49" t="s">
        <v>291</v>
      </c>
      <c r="B49">
        <v>8900</v>
      </c>
      <c r="C49">
        <v>6400</v>
      </c>
      <c r="D49">
        <v>6100</v>
      </c>
      <c r="E49">
        <v>8400</v>
      </c>
      <c r="F49">
        <v>9900</v>
      </c>
      <c r="G49">
        <v>10800</v>
      </c>
      <c r="H49">
        <v>9500</v>
      </c>
      <c r="I49">
        <v>12600</v>
      </c>
      <c r="J49">
        <v>2200</v>
      </c>
      <c r="K49">
        <v>0</v>
      </c>
      <c r="L49">
        <v>1600</v>
      </c>
      <c r="M49">
        <v>3800</v>
      </c>
      <c r="N49">
        <v>3400</v>
      </c>
      <c r="O49">
        <v>2200</v>
      </c>
      <c r="P49">
        <v>3200</v>
      </c>
      <c r="Q49">
        <v>5000</v>
      </c>
      <c r="R49">
        <v>600</v>
      </c>
    </row>
    <row r="50" spans="1:18" x14ac:dyDescent="0.3">
      <c r="A50" t="s">
        <v>265</v>
      </c>
      <c r="B50">
        <v>8000</v>
      </c>
      <c r="C50">
        <v>5500</v>
      </c>
      <c r="D50">
        <v>5700</v>
      </c>
      <c r="E50">
        <v>7500</v>
      </c>
      <c r="F50">
        <v>8900</v>
      </c>
      <c r="G50">
        <v>9900</v>
      </c>
      <c r="H50">
        <v>9600</v>
      </c>
      <c r="I50">
        <v>8300</v>
      </c>
      <c r="J50">
        <v>3600</v>
      </c>
      <c r="K50">
        <v>1600</v>
      </c>
      <c r="L50">
        <v>0</v>
      </c>
      <c r="M50">
        <v>3800</v>
      </c>
      <c r="N50">
        <v>3400</v>
      </c>
      <c r="O50">
        <v>2200</v>
      </c>
      <c r="P50">
        <v>3200</v>
      </c>
      <c r="Q50">
        <v>5000</v>
      </c>
      <c r="R50">
        <v>7800</v>
      </c>
    </row>
    <row r="51" spans="1:18" x14ac:dyDescent="0.3">
      <c r="A51" t="s">
        <v>184</v>
      </c>
      <c r="B51">
        <v>7400</v>
      </c>
      <c r="C51">
        <v>4900</v>
      </c>
      <c r="D51">
        <v>10100</v>
      </c>
      <c r="E51">
        <v>6900</v>
      </c>
      <c r="F51">
        <v>8300</v>
      </c>
      <c r="G51">
        <v>9300</v>
      </c>
      <c r="H51">
        <v>13100</v>
      </c>
      <c r="I51">
        <v>12200</v>
      </c>
      <c r="J51">
        <v>6100</v>
      </c>
      <c r="K51">
        <v>3800</v>
      </c>
      <c r="L51">
        <v>3800</v>
      </c>
      <c r="M51">
        <v>0</v>
      </c>
      <c r="N51">
        <v>0</v>
      </c>
      <c r="O51">
        <v>6800</v>
      </c>
      <c r="P51">
        <v>5500</v>
      </c>
      <c r="Q51">
        <v>8900</v>
      </c>
      <c r="R51">
        <v>8800</v>
      </c>
    </row>
    <row r="52" spans="1:18" x14ac:dyDescent="0.3">
      <c r="A52" t="s">
        <v>219</v>
      </c>
      <c r="B52">
        <v>6000</v>
      </c>
      <c r="C52">
        <v>3800</v>
      </c>
      <c r="D52">
        <v>9100</v>
      </c>
      <c r="E52">
        <v>5800</v>
      </c>
      <c r="F52">
        <v>7200</v>
      </c>
      <c r="G52">
        <v>8200</v>
      </c>
      <c r="H52">
        <v>12400</v>
      </c>
      <c r="I52">
        <v>11100</v>
      </c>
      <c r="J52">
        <v>5700</v>
      </c>
      <c r="K52">
        <v>3400</v>
      </c>
      <c r="L52">
        <v>3400</v>
      </c>
      <c r="M52">
        <v>0</v>
      </c>
      <c r="N52">
        <v>0</v>
      </c>
      <c r="O52">
        <v>6900</v>
      </c>
      <c r="P52">
        <v>5600</v>
      </c>
      <c r="Q52">
        <v>7900</v>
      </c>
      <c r="R52">
        <v>6400</v>
      </c>
    </row>
    <row r="53" spans="1:18" x14ac:dyDescent="0.3">
      <c r="A53" t="s">
        <v>164</v>
      </c>
      <c r="B53">
        <v>10000</v>
      </c>
      <c r="C53">
        <v>8000</v>
      </c>
      <c r="D53">
        <v>10000</v>
      </c>
      <c r="E53">
        <v>10000</v>
      </c>
      <c r="F53">
        <v>9600</v>
      </c>
      <c r="G53">
        <v>10700</v>
      </c>
      <c r="H53">
        <v>7500</v>
      </c>
      <c r="I53">
        <v>3900</v>
      </c>
      <c r="J53">
        <v>1500</v>
      </c>
      <c r="K53">
        <v>2200</v>
      </c>
      <c r="L53">
        <v>2200</v>
      </c>
      <c r="M53">
        <v>6800</v>
      </c>
      <c r="N53">
        <v>6900</v>
      </c>
      <c r="O53">
        <v>0</v>
      </c>
      <c r="P53">
        <v>1900</v>
      </c>
      <c r="Q53">
        <v>3000</v>
      </c>
      <c r="R53">
        <v>5800</v>
      </c>
    </row>
    <row r="54" spans="1:18" x14ac:dyDescent="0.3">
      <c r="A54" t="s">
        <v>173</v>
      </c>
      <c r="B54">
        <v>9200</v>
      </c>
      <c r="C54">
        <v>6700</v>
      </c>
      <c r="D54">
        <v>3000</v>
      </c>
      <c r="E54">
        <v>8700</v>
      </c>
      <c r="F54">
        <v>8300</v>
      </c>
      <c r="G54">
        <v>9400</v>
      </c>
      <c r="H54">
        <v>6300</v>
      </c>
      <c r="I54">
        <v>6200</v>
      </c>
      <c r="J54">
        <v>3300</v>
      </c>
      <c r="K54">
        <v>3200</v>
      </c>
      <c r="L54">
        <v>3200</v>
      </c>
      <c r="M54">
        <v>5500</v>
      </c>
      <c r="N54">
        <v>5600</v>
      </c>
      <c r="O54">
        <v>1900</v>
      </c>
      <c r="P54">
        <v>0</v>
      </c>
      <c r="Q54">
        <v>1600</v>
      </c>
      <c r="R54">
        <v>4500</v>
      </c>
    </row>
    <row r="55" spans="1:18" x14ac:dyDescent="0.3">
      <c r="A55" t="s">
        <v>138</v>
      </c>
      <c r="B55">
        <v>8000</v>
      </c>
      <c r="C55">
        <v>5500</v>
      </c>
      <c r="D55">
        <v>1000</v>
      </c>
      <c r="E55">
        <v>7500</v>
      </c>
      <c r="F55">
        <v>5400</v>
      </c>
      <c r="G55">
        <v>4800</v>
      </c>
      <c r="H55">
        <v>4800</v>
      </c>
      <c r="I55">
        <v>7400</v>
      </c>
      <c r="J55">
        <v>4500</v>
      </c>
      <c r="K55">
        <v>5000</v>
      </c>
      <c r="L55">
        <v>5000</v>
      </c>
      <c r="M55">
        <v>8900</v>
      </c>
      <c r="N55">
        <v>7900</v>
      </c>
      <c r="O55">
        <v>3000</v>
      </c>
      <c r="P55">
        <v>1600</v>
      </c>
      <c r="Q55">
        <v>0</v>
      </c>
      <c r="R55">
        <v>2800</v>
      </c>
    </row>
    <row r="56" spans="1:18" x14ac:dyDescent="0.3">
      <c r="A56" t="s">
        <v>302</v>
      </c>
      <c r="B56">
        <v>7000</v>
      </c>
      <c r="C56">
        <v>4500</v>
      </c>
      <c r="D56">
        <v>3700</v>
      </c>
      <c r="E56">
        <v>6500</v>
      </c>
      <c r="F56">
        <v>1600</v>
      </c>
      <c r="G56">
        <v>4800</v>
      </c>
      <c r="H56">
        <v>1500</v>
      </c>
      <c r="I56">
        <v>12600</v>
      </c>
      <c r="J56">
        <v>9700</v>
      </c>
      <c r="K56">
        <v>600</v>
      </c>
      <c r="L56">
        <v>7800</v>
      </c>
      <c r="M56">
        <v>8800</v>
      </c>
      <c r="N56">
        <v>6400</v>
      </c>
      <c r="O56">
        <v>5800</v>
      </c>
      <c r="P56">
        <v>4500</v>
      </c>
      <c r="Q56">
        <v>2800</v>
      </c>
      <c r="R56">
        <v>0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18"/>
  <sheetViews>
    <sheetView workbookViewId="0">
      <selection activeCell="I15" sqref="I15"/>
    </sheetView>
  </sheetViews>
  <sheetFormatPr defaultRowHeight="16.5" x14ac:dyDescent="0.3"/>
  <sheetData>
    <row r="1" spans="1:5" x14ac:dyDescent="0.3">
      <c r="A1" t="s">
        <v>633</v>
      </c>
      <c r="C1" t="s">
        <v>634</v>
      </c>
      <c r="E1" t="s">
        <v>637</v>
      </c>
    </row>
    <row r="2" spans="1:5" x14ac:dyDescent="0.3">
      <c r="A2">
        <v>0</v>
      </c>
      <c r="C2" t="s">
        <v>635</v>
      </c>
      <c r="D2">
        <v>1</v>
      </c>
      <c r="E2" t="s">
        <v>638</v>
      </c>
    </row>
    <row r="3" spans="1:5" x14ac:dyDescent="0.3">
      <c r="A3" t="b">
        <v>0</v>
      </c>
      <c r="C3" t="s">
        <v>636</v>
      </c>
      <c r="D3">
        <v>2</v>
      </c>
      <c r="E3" t="s">
        <v>639</v>
      </c>
    </row>
    <row r="4" spans="1:5" x14ac:dyDescent="0.3">
      <c r="D4">
        <v>3</v>
      </c>
      <c r="E4" t="s">
        <v>640</v>
      </c>
    </row>
    <row r="5" spans="1:5" x14ac:dyDescent="0.3">
      <c r="D5">
        <v>4</v>
      </c>
      <c r="E5" t="s">
        <v>641</v>
      </c>
    </row>
    <row r="6" spans="1:5" x14ac:dyDescent="0.3">
      <c r="D6">
        <v>5</v>
      </c>
      <c r="E6" t="s">
        <v>642</v>
      </c>
    </row>
    <row r="7" spans="1:5" x14ac:dyDescent="0.3">
      <c r="D7">
        <v>6</v>
      </c>
      <c r="E7" t="s">
        <v>643</v>
      </c>
    </row>
    <row r="8" spans="1:5" x14ac:dyDescent="0.3">
      <c r="D8">
        <v>7</v>
      </c>
      <c r="E8" t="s">
        <v>644</v>
      </c>
    </row>
    <row r="9" spans="1:5" x14ac:dyDescent="0.3">
      <c r="D9">
        <v>8</v>
      </c>
      <c r="E9" t="s">
        <v>645</v>
      </c>
    </row>
    <row r="10" spans="1:5" x14ac:dyDescent="0.3">
      <c r="D10">
        <v>9</v>
      </c>
      <c r="E10" t="s">
        <v>646</v>
      </c>
    </row>
    <row r="11" spans="1:5" x14ac:dyDescent="0.3">
      <c r="D11">
        <v>10</v>
      </c>
      <c r="E11" t="s">
        <v>647</v>
      </c>
    </row>
    <row r="12" spans="1:5" x14ac:dyDescent="0.3">
      <c r="D12">
        <v>11</v>
      </c>
      <c r="E12" t="s">
        <v>648</v>
      </c>
    </row>
    <row r="13" spans="1:5" x14ac:dyDescent="0.3">
      <c r="D13">
        <v>12</v>
      </c>
      <c r="E13" t="s">
        <v>649</v>
      </c>
    </row>
    <row r="14" spans="1:5" x14ac:dyDescent="0.3">
      <c r="D14">
        <v>13</v>
      </c>
      <c r="E14" t="s">
        <v>650</v>
      </c>
    </row>
    <row r="15" spans="1:5" x14ac:dyDescent="0.3">
      <c r="D15">
        <v>14</v>
      </c>
      <c r="E15" t="s">
        <v>651</v>
      </c>
    </row>
    <row r="16" spans="1:5" x14ac:dyDescent="0.3">
      <c r="D16">
        <v>15</v>
      </c>
      <c r="E16" t="s">
        <v>652</v>
      </c>
    </row>
    <row r="17" spans="4:5" x14ac:dyDescent="0.3">
      <c r="D17">
        <v>16</v>
      </c>
      <c r="E17" t="s">
        <v>653</v>
      </c>
    </row>
    <row r="18" spans="4:5" x14ac:dyDescent="0.3">
      <c r="D18">
        <v>17</v>
      </c>
      <c r="E18" t="s">
        <v>654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23"/>
  <sheetViews>
    <sheetView workbookViewId="0">
      <selection activeCell="N6" sqref="N6"/>
    </sheetView>
  </sheetViews>
  <sheetFormatPr defaultRowHeight="16.5" x14ac:dyDescent="0.3"/>
  <cols>
    <col min="1" max="1" width="11.875" customWidth="1"/>
    <col min="2" max="2" width="11.125" bestFit="1" customWidth="1"/>
  </cols>
  <sheetData>
    <row r="1" spans="1:2" x14ac:dyDescent="0.3">
      <c r="A1" s="12" t="s">
        <v>658</v>
      </c>
      <c r="B1" t="s">
        <v>657</v>
      </c>
    </row>
    <row r="2" spans="1:2" x14ac:dyDescent="0.3">
      <c r="A2" s="13" t="s">
        <v>15</v>
      </c>
      <c r="B2" s="11">
        <v>1826050</v>
      </c>
    </row>
    <row r="3" spans="1:2" x14ac:dyDescent="0.3">
      <c r="A3" s="13" t="s">
        <v>35</v>
      </c>
      <c r="B3" s="11">
        <v>1945614</v>
      </c>
    </row>
    <row r="4" spans="1:2" x14ac:dyDescent="0.3">
      <c r="A4" s="13" t="s">
        <v>43</v>
      </c>
      <c r="B4" s="11">
        <v>1767624</v>
      </c>
    </row>
    <row r="5" spans="1:2" x14ac:dyDescent="0.3">
      <c r="A5" s="13" t="s">
        <v>71</v>
      </c>
      <c r="B5" s="11">
        <v>1804696</v>
      </c>
    </row>
    <row r="6" spans="1:2" x14ac:dyDescent="0.3">
      <c r="A6" s="13" t="s">
        <v>79</v>
      </c>
      <c r="B6" s="11">
        <v>1759210</v>
      </c>
    </row>
    <row r="7" spans="1:2" x14ac:dyDescent="0.3">
      <c r="A7" s="13" t="s">
        <v>659</v>
      </c>
      <c r="B7" s="11">
        <v>9103194</v>
      </c>
    </row>
    <row r="9" spans="1:2" x14ac:dyDescent="0.3">
      <c r="A9" s="12" t="s">
        <v>658</v>
      </c>
      <c r="B9" t="s">
        <v>657</v>
      </c>
    </row>
    <row r="10" spans="1:2" x14ac:dyDescent="0.3">
      <c r="A10" s="13" t="s">
        <v>339</v>
      </c>
      <c r="B10" s="11">
        <v>1105440</v>
      </c>
    </row>
    <row r="11" spans="1:2" x14ac:dyDescent="0.3">
      <c r="A11" s="13" t="s">
        <v>355</v>
      </c>
      <c r="B11" s="11">
        <v>1156000</v>
      </c>
    </row>
    <row r="12" spans="1:2" x14ac:dyDescent="0.3">
      <c r="A12" s="13" t="s">
        <v>381</v>
      </c>
      <c r="B12" s="11">
        <v>1474000</v>
      </c>
    </row>
    <row r="13" spans="1:2" x14ac:dyDescent="0.3">
      <c r="A13" s="13" t="s">
        <v>413</v>
      </c>
      <c r="B13" s="11">
        <v>2373480</v>
      </c>
    </row>
    <row r="14" spans="1:2" x14ac:dyDescent="0.3">
      <c r="A14" s="13" t="s">
        <v>425</v>
      </c>
      <c r="B14" s="11">
        <v>1254960</v>
      </c>
    </row>
    <row r="15" spans="1:2" x14ac:dyDescent="0.3">
      <c r="A15" s="13" t="s">
        <v>659</v>
      </c>
      <c r="B15" s="11">
        <v>7363880</v>
      </c>
    </row>
    <row r="17" spans="1:2" x14ac:dyDescent="0.3">
      <c r="A17" s="12" t="s">
        <v>658</v>
      </c>
      <c r="B17" t="s">
        <v>657</v>
      </c>
    </row>
    <row r="18" spans="1:2" x14ac:dyDescent="0.3">
      <c r="A18" s="13" t="s">
        <v>660</v>
      </c>
      <c r="B18" s="11">
        <v>8594460</v>
      </c>
    </row>
    <row r="19" spans="1:2" x14ac:dyDescent="0.3">
      <c r="A19" s="13" t="s">
        <v>661</v>
      </c>
      <c r="B19" s="11">
        <v>5619966</v>
      </c>
    </row>
    <row r="20" spans="1:2" x14ac:dyDescent="0.3">
      <c r="A20" s="13" t="s">
        <v>662</v>
      </c>
      <c r="B20" s="11">
        <v>7175402</v>
      </c>
    </row>
    <row r="21" spans="1:2" x14ac:dyDescent="0.3">
      <c r="A21" s="13" t="s">
        <v>663</v>
      </c>
      <c r="B21" s="11">
        <v>8051304</v>
      </c>
    </row>
    <row r="22" spans="1:2" x14ac:dyDescent="0.3">
      <c r="A22" s="13" t="s">
        <v>664</v>
      </c>
      <c r="B22" s="11">
        <v>6264028</v>
      </c>
    </row>
    <row r="23" spans="1:2" x14ac:dyDescent="0.3">
      <c r="A23" s="13" t="s">
        <v>659</v>
      </c>
      <c r="B23" s="11">
        <v>35705160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이름이 지정된 범위</vt:lpstr>
      </vt:variant>
      <vt:variant>
        <vt:i4>1</vt:i4>
      </vt:variant>
    </vt:vector>
  </HeadingPairs>
  <TitlesOfParts>
    <vt:vector size="12" baseType="lpstr">
      <vt:lpstr>Main</vt:lpstr>
      <vt:lpstr>회원</vt:lpstr>
      <vt:lpstr>관광지</vt:lpstr>
      <vt:lpstr>패키지</vt:lpstr>
      <vt:lpstr>예약내역</vt:lpstr>
      <vt:lpstr>리뷰</vt:lpstr>
      <vt:lpstr>여행경로</vt:lpstr>
      <vt:lpstr>분석</vt:lpstr>
      <vt:lpstr>ㅇ</vt:lpstr>
      <vt:lpstr>ㅇㅇ</vt:lpstr>
      <vt:lpstr>ㅇㅇㅇ</vt:lpstr>
      <vt:lpstr>지역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JUNGBO04</dc:creator>
  <cp:lastModifiedBy>JUNGBO04</cp:lastModifiedBy>
  <dcterms:created xsi:type="dcterms:W3CDTF">2022-04-03T07:46:02Z</dcterms:created>
  <dcterms:modified xsi:type="dcterms:W3CDTF">2022-05-04T01:34:58Z</dcterms:modified>
</cp:coreProperties>
</file>